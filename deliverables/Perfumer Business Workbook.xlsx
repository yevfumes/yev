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2.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Lists" sheetId="1" state="hidden" r:id="rId3"/>
    <sheet name="Dashboard" sheetId="2" state="visible" r:id="rId4"/>
    <sheet name="Clients" sheetId="3" state="visible" r:id="rId5"/>
    <sheet name="Fragrance Projects" sheetId="4" state="visible" r:id="rId6"/>
    <sheet name="Client Brief" sheetId="5" state="visible" r:id="rId7"/>
    <sheet name="Iteration Tracker" sheetId="6" state="visible" r:id="rId8"/>
    <sheet name="Project Financials" sheetId="7" state="visible" r:id="rId9"/>
    <sheet name="Expense Log" sheetId="8" state="visible" r:id="rId10"/>
    <sheet name="Payments" sheetId="9" state="visible" r:id="rId11"/>
    <sheet name="Workload Planner" sheetId="10" state="visible" r:id="rId12"/>
    <sheet name="Client Risk" sheetId="11" state="visible" r:id="rId13"/>
    <sheet name="Project Closeout" sheetId="12" state="visible" r:id="rId14"/>
    <sheet name="Instructions" sheetId="13" state="visible" r:id="rId15"/>
  </sheets>
  <definedNames>
    <definedName function="false" hidden="false" localSheetId="4" name="_xlnm.Print_Area" vbProcedure="false">'Client Brief'!$A$1:$AR$64</definedName>
    <definedName function="false" hidden="false" localSheetId="4" name="_xlnm.Print_Titles" vbProcedure="false">'Client Brief'!$4:$4</definedName>
    <definedName function="false" hidden="false" localSheetId="10" name="_xlnm.Print_Area" vbProcedure="false">'Client Risk'!$A$1:$V$64</definedName>
    <definedName function="false" hidden="false" localSheetId="10" name="_xlnm.Print_Titles" vbProcedure="false">'Client Risk'!$4:$4</definedName>
    <definedName function="false" hidden="false" localSheetId="2" name="_xlnm.Print_Area" vbProcedure="false">Clients!$A$1:$W$44</definedName>
    <definedName function="false" hidden="false" localSheetId="2" name="_xlnm.Print_Titles" vbProcedure="false">Clients!$4:$4</definedName>
    <definedName function="false" hidden="false" localSheetId="1" name="_xlnm.Print_Area" vbProcedure="false">Dashboard!$A$1:$T$200</definedName>
    <definedName function="false" hidden="false" localSheetId="7" name="_xlnm.Print_Area" vbProcedure="false">'Expense Log'!$A$1:$N$154</definedName>
    <definedName function="false" hidden="false" localSheetId="7" name="_xlnm.Print_Titles" vbProcedure="false">'Expense Log'!$4:$4</definedName>
    <definedName function="false" hidden="false" localSheetId="3" name="_xlnm.Print_Area" vbProcedure="false">'Fragrance Projects'!$A$1:$AK$64</definedName>
    <definedName function="false" hidden="false" localSheetId="3" name="_xlnm.Print_Titles" vbProcedure="false">'Fragrance Projects'!$4:$4</definedName>
    <definedName function="false" hidden="false" localSheetId="12" name="_xlnm.Print_Area" vbProcedure="false">Instructions!$A$1:$F$68</definedName>
    <definedName function="false" hidden="false" localSheetId="5" name="_xlnm.Print_Area" vbProcedure="false">'Iteration Tracker'!$A$1:$X$124</definedName>
    <definedName function="false" hidden="false" localSheetId="5" name="_xlnm.Print_Titles" vbProcedure="false">'Iteration Tracker'!$4:$4</definedName>
    <definedName function="false" hidden="false" localSheetId="8" name="_xlnm.Print_Area" vbProcedure="false">Payments!$A$1:$P$64</definedName>
    <definedName function="false" hidden="false" localSheetId="8" name="_xlnm.Print_Titles" vbProcedure="false">Payments!$4:$4</definedName>
    <definedName function="false" hidden="false" localSheetId="11" name="_xlnm.Print_Area" vbProcedure="false">'Project Closeout'!$A$1:$X$44</definedName>
    <definedName function="false" hidden="false" localSheetId="11" name="_xlnm.Print_Titles" vbProcedure="false">'Project Closeout'!$4:$4</definedName>
    <definedName function="false" hidden="false" localSheetId="6" name="_xlnm.Print_Area" vbProcedure="false">'Project Financials'!$A$1:$AD$64</definedName>
    <definedName function="false" hidden="false" localSheetId="6" name="_xlnm.Print_Titles" vbProcedure="false">'Project Financials'!$4:$4</definedName>
    <definedName function="false" hidden="false" localSheetId="9" name="_xlnm.Print_Area" vbProcedure="false">'Workload Planner'!$A$1:$M$76</definedName>
    <definedName function="false" hidden="false" localSheetId="9" name="_xlnm.Print_Titles" vbProcedure="false">'Workload Planner'!$4:$4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<sst xmlns="http://schemas.openxmlformats.org/spreadsheetml/2006/main" count="612" uniqueCount="489">
  <si>
    <t xml:space="preserve">ClientPriority</t>
  </si>
  <si>
    <t xml:space="preserve">RelationshipStatus</t>
  </si>
  <si>
    <t xml:space="preserve">LeadSource</t>
  </si>
  <si>
    <t xml:space="preserve">ProjectType</t>
  </si>
  <si>
    <t xml:space="preserve">FormulaOwnership</t>
  </si>
  <si>
    <t xml:space="preserve">YesNo</t>
  </si>
  <si>
    <t xml:space="preserve">YesNoPending</t>
  </si>
  <si>
    <t xml:space="preserve">Stage</t>
  </si>
  <si>
    <t xml:space="preserve">ProjectPriority</t>
  </si>
  <si>
    <t xml:space="preserve">WhoNeedsToAct</t>
  </si>
  <si>
    <t xml:space="preserve">AssignedTo</t>
  </si>
  <si>
    <t xml:space="preserve">GenderPositioning</t>
  </si>
  <si>
    <t xml:space="preserve">Concentration</t>
  </si>
  <si>
    <t xml:space="preserve">ProductType</t>
  </si>
  <si>
    <t xml:space="preserve">FragranceFamily</t>
  </si>
  <si>
    <t xml:space="preserve">Season</t>
  </si>
  <si>
    <t xml:space="preserve">Occasion</t>
  </si>
  <si>
    <t xml:space="preserve">DayNight</t>
  </si>
  <si>
    <t xml:space="preserve">CommercialArtistic</t>
  </si>
  <si>
    <t xml:space="preserve">ExpenseCategory</t>
  </si>
  <si>
    <t xml:space="preserve">BusinessExpenseType</t>
  </si>
  <si>
    <t xml:space="preserve">PaymentMethod</t>
  </si>
  <si>
    <t xml:space="preserve">WaitingOn</t>
  </si>
  <si>
    <t xml:space="preserve">AgainDecision</t>
  </si>
  <si>
    <t xml:space="preserve">Low</t>
  </si>
  <si>
    <t xml:space="preserve">Lead</t>
  </si>
  <si>
    <t xml:space="preserve">Referral</t>
  </si>
  <si>
    <t xml:space="preserve">Personal Perfume</t>
  </si>
  <si>
    <t xml:space="preserve">Client Exclusive</t>
  </si>
  <si>
    <t xml:space="preserve">Yes</t>
  </si>
  <si>
    <t xml:space="preserve">Brief</t>
  </si>
  <si>
    <t xml:space="preserve">Us</t>
  </si>
  <si>
    <t xml:space="preserve">Feminine</t>
  </si>
  <si>
    <t xml:space="preserve">Parfum / Extrait</t>
  </si>
  <si>
    <t xml:space="preserve">Fine Fragrance</t>
  </si>
  <si>
    <t xml:space="preserve">Floral</t>
  </si>
  <si>
    <t xml:space="preserve">Spring</t>
  </si>
  <si>
    <t xml:space="preserve">Everyday</t>
  </si>
  <si>
    <t xml:space="preserve">Day</t>
  </si>
  <si>
    <t xml:space="preserve">Commercial</t>
  </si>
  <si>
    <t xml:space="preserve">Raw Materials</t>
  </si>
  <si>
    <t xml:space="preserve">Cost of Goods Sold</t>
  </si>
  <si>
    <t xml:space="preserve">Bank Transfer</t>
  </si>
  <si>
    <t xml:space="preserve">Normal</t>
  </si>
  <si>
    <t xml:space="preserve">Quoted</t>
  </si>
  <si>
    <t xml:space="preserve">Instagram</t>
  </si>
  <si>
    <t xml:space="preserve">Brand Collection</t>
  </si>
  <si>
    <t xml:space="preserve">Perfumer Retains Rights</t>
  </si>
  <si>
    <t xml:space="preserve">No</t>
  </si>
  <si>
    <t xml:space="preserve">Research</t>
  </si>
  <si>
    <t xml:space="preserve">Client</t>
  </si>
  <si>
    <t xml:space="preserve">Masculine</t>
  </si>
  <si>
    <t xml:space="preserve">Eau de Parfum</t>
  </si>
  <si>
    <t xml:space="preserve">Home Fragrance</t>
  </si>
  <si>
    <t xml:space="preserve">Oriental / Amber</t>
  </si>
  <si>
    <t xml:space="preserve">Summer</t>
  </si>
  <si>
    <t xml:space="preserve">Evening</t>
  </si>
  <si>
    <t xml:space="preserve">Night</t>
  </si>
  <si>
    <t xml:space="preserve">Artistic</t>
  </si>
  <si>
    <t xml:space="preserve">Alcohol/Carrier</t>
  </si>
  <si>
    <t xml:space="preserve">Operating Expense</t>
  </si>
  <si>
    <t xml:space="preserve">Card</t>
  </si>
  <si>
    <t xml:space="preserve">High</t>
  </si>
  <si>
    <t xml:space="preserve">Signed</t>
  </si>
  <si>
    <t xml:space="preserve">Website</t>
  </si>
  <si>
    <t xml:space="preserve">Niche Line</t>
  </si>
  <si>
    <t xml:space="preserve">Shared</t>
  </si>
  <si>
    <t xml:space="preserve">Pending</t>
  </si>
  <si>
    <t xml:space="preserve">Concept Development</t>
  </si>
  <si>
    <t xml:space="preserve">Third Party</t>
  </si>
  <si>
    <t xml:space="preserve">Both</t>
  </si>
  <si>
    <t xml:space="preserve">Unisex / Shared</t>
  </si>
  <si>
    <t xml:space="preserve">Eau de Toilette</t>
  </si>
  <si>
    <t xml:space="preserve">Personal Care</t>
  </si>
  <si>
    <t xml:space="preserve">Woody</t>
  </si>
  <si>
    <t xml:space="preserve">Autumn</t>
  </si>
  <si>
    <t xml:space="preserve">Special Occasion</t>
  </si>
  <si>
    <t xml:space="preserve">Balanced</t>
  </si>
  <si>
    <t xml:space="preserve">Bottles</t>
  </si>
  <si>
    <t xml:space="preserve">Capital Expense</t>
  </si>
  <si>
    <t xml:space="preserve">PayPal</t>
  </si>
  <si>
    <t xml:space="preserve">Supplier</t>
  </si>
  <si>
    <t xml:space="preserve">Maybe</t>
  </si>
  <si>
    <t xml:space="preserve">VIP</t>
  </si>
  <si>
    <t xml:space="preserve">Active</t>
  </si>
  <si>
    <t xml:space="preserve">Google Search</t>
  </si>
  <si>
    <t xml:space="preserve">Private Label</t>
  </si>
  <si>
    <t xml:space="preserve">Licensed</t>
  </si>
  <si>
    <t xml:space="preserve">Formula Development</t>
  </si>
  <si>
    <t xml:space="preserve">Urgent</t>
  </si>
  <si>
    <t xml:space="preserve">Nobody – Complete</t>
  </si>
  <si>
    <t xml:space="preserve">Unassigned</t>
  </si>
  <si>
    <t xml:space="preserve">Not Specified</t>
  </si>
  <si>
    <t xml:space="preserve">Eau de Cologne</t>
  </si>
  <si>
    <t xml:space="preserve">Candle</t>
  </si>
  <si>
    <t xml:space="preserve">Fresh</t>
  </si>
  <si>
    <t xml:space="preserve">Winter</t>
  </si>
  <si>
    <t xml:space="preserve">Office</t>
  </si>
  <si>
    <t xml:space="preserve">Sample Vials</t>
  </si>
  <si>
    <t xml:space="preserve">Stripe</t>
  </si>
  <si>
    <t xml:space="preserve">Nobody</t>
  </si>
  <si>
    <t xml:space="preserve">Completed</t>
  </si>
  <si>
    <t xml:space="preserve">Trade Show</t>
  </si>
  <si>
    <t xml:space="preserve">Corporate Gift</t>
  </si>
  <si>
    <t xml:space="preserve">Not Yet Agreed</t>
  </si>
  <si>
    <t xml:space="preserve">Compounding</t>
  </si>
  <si>
    <t xml:space="preserve">Fragrance Oil</t>
  </si>
  <si>
    <t xml:space="preserve">Diffuser</t>
  </si>
  <si>
    <t xml:space="preserve">Chypre</t>
  </si>
  <si>
    <t xml:space="preserve">All Year</t>
  </si>
  <si>
    <t xml:space="preserve">Signature Scent</t>
  </si>
  <si>
    <t xml:space="preserve">Packaging</t>
  </si>
  <si>
    <t xml:space="preserve">Cash</t>
  </si>
  <si>
    <t xml:space="preserve">On Hold</t>
  </si>
  <si>
    <t xml:space="preserve">Existing Client</t>
  </si>
  <si>
    <t xml:space="preserve">Other</t>
  </si>
  <si>
    <t xml:space="preserve">Evaluation</t>
  </si>
  <si>
    <t xml:space="preserve">Fougere</t>
  </si>
  <si>
    <t xml:space="preserve">Labels</t>
  </si>
  <si>
    <t xml:space="preserve">Cancelled</t>
  </si>
  <si>
    <t xml:space="preserve">Sample Sent</t>
  </si>
  <si>
    <t xml:space="preserve">Gourmand</t>
  </si>
  <si>
    <t xml:space="preserve">Shipping</t>
  </si>
  <si>
    <t xml:space="preserve">Awaiting Feedback</t>
  </si>
  <si>
    <t xml:space="preserve">Aquatic</t>
  </si>
  <si>
    <t xml:space="preserve">Documentation</t>
  </si>
  <si>
    <t xml:space="preserve">Reformulation</t>
  </si>
  <si>
    <t xml:space="preserve">Green</t>
  </si>
  <si>
    <t xml:space="preserve">SDS</t>
  </si>
  <si>
    <t xml:space="preserve">Approved</t>
  </si>
  <si>
    <t xml:space="preserve">Citrus</t>
  </si>
  <si>
    <t xml:space="preserve">IFRA/Allergen</t>
  </si>
  <si>
    <t xml:space="preserve">CPSR</t>
  </si>
  <si>
    <t xml:space="preserve">Production</t>
  </si>
  <si>
    <t xml:space="preserve">Complete</t>
  </si>
  <si>
    <t xml:space="preserve">External Perfumer</t>
  </si>
  <si>
    <t xml:space="preserve">Testing</t>
  </si>
  <si>
    <t xml:space="preserve">Software</t>
  </si>
  <si>
    <t xml:space="preserve">Payment Fees</t>
  </si>
  <si>
    <t xml:space="preserve">PERFUMER STUDIO — Fragrance Development Dashboard</t>
  </si>
  <si>
    <t xml:space="preserve">KEY METRICS</t>
  </si>
  <si>
    <t xml:space="preserve">ACTIVE CLIENTS</t>
  </si>
  <si>
    <t xml:space="preserve">ACTIVE FRAGRANCE PROJECTS</t>
  </si>
  <si>
    <t xml:space="preserve">AWAITING CLIENT FEEDBACK</t>
  </si>
  <si>
    <t xml:space="preserve">REQUIRING ACTION FROM US</t>
  </si>
  <si>
    <t xml:space="preserve">APPROACHING DEADLINE (≤7D)</t>
  </si>
  <si>
    <t xml:space="preserve">OVERDUE PROJECTS</t>
  </si>
  <si>
    <t xml:space="preserve">TOTAL CONTRACTED REVENUE</t>
  </si>
  <si>
    <t xml:space="preserve">REVENUE RECEIVED</t>
  </si>
  <si>
    <t xml:space="preserve">OUTSTANDING PAYMENTS</t>
  </si>
  <si>
    <t xml:space="preserve">TOTAL PROJECT EXPENSES</t>
  </si>
  <si>
    <t xml:space="preserve">ESTIMATED GROSS PROFIT</t>
  </si>
  <si>
    <t xml:space="preserve">AVERAGE PROFIT MARGIN %</t>
  </si>
  <si>
    <t xml:space="preserve">AVERAGE REVENUE PER CLIENT</t>
  </si>
  <si>
    <t xml:space="preserve">FORMULAS IN DEVELOPMENT</t>
  </si>
  <si>
    <t xml:space="preserve">APPROVED FORMULAS</t>
  </si>
  <si>
    <t xml:space="preserve">URGENT ATTENTION — Needs You Now</t>
  </si>
  <si>
    <t xml:space="preserve">Fragrance</t>
  </si>
  <si>
    <t xml:space="preserve">Current Stage</t>
  </si>
  <si>
    <t xml:space="preserve">Days Remaining</t>
  </si>
  <si>
    <t xml:space="preserve">Next Action</t>
  </si>
  <si>
    <t xml:space="preserve">Why It's Flagged</t>
  </si>
  <si>
    <t xml:space="preserve">Assigned To</t>
  </si>
  <si>
    <t xml:space="preserve">UPCOMING DEADLINES — Next 8 In Line</t>
  </si>
  <si>
    <t xml:space="preserve">Deadline</t>
  </si>
  <si>
    <t xml:space="preserve">CHARTS</t>
  </si>
  <si>
    <t xml:space="preserve">Chart data (calculated automatically — do not edit)</t>
  </si>
  <si>
    <t xml:space="preserve">Month</t>
  </si>
  <si>
    <t xml:space="preserve">Revenue Received</t>
  </si>
  <si>
    <t xml:space="preserve">Expenses</t>
  </si>
  <si>
    <t xml:space="preserve">Profit</t>
  </si>
  <si>
    <t xml:space="preserve">Projects</t>
  </si>
  <si>
    <t xml:space="preserve">Active Projects</t>
  </si>
  <si>
    <t xml:space="preserve">Note: revenue-by-month approximates timing using deposit date and balance due date.</t>
  </si>
  <si>
    <t xml:space="preserve">CLIENTS — Master Client Database</t>
  </si>
  <si>
    <t xml:space="preserve">One row per client / brand. New clients: add a row and choose the next Client ID (e.g. C007).</t>
  </si>
  <si>
    <t xml:space="preserve">INPUT — type or choose here</t>
  </si>
  <si>
    <t xml:space="preserve">CALCULATED — formula, do not edit</t>
  </si>
  <si>
    <t xml:space="preserve">AUTO-LOOKUP — pulled from another sheet</t>
  </si>
  <si>
    <t xml:space="preserve">Client ID</t>
  </si>
  <si>
    <t xml:space="preserve">Client / Brand Name</t>
  </si>
  <si>
    <t xml:space="preserve">Contact Name</t>
  </si>
  <si>
    <t xml:space="preserve">Email</t>
  </si>
  <si>
    <t xml:space="preserve">Phone</t>
  </si>
  <si>
    <t xml:space="preserve">Country</t>
  </si>
  <si>
    <t xml:space="preserve">Date Enquired</t>
  </si>
  <si>
    <t xml:space="preserve">Date Signed</t>
  </si>
  <si>
    <t xml:space="preserve">Lead Source</t>
  </si>
  <si>
    <t xml:space="preserve">Project Type</t>
  </si>
  <si>
    <t xml:space="preserve">No. of Fragrances</t>
  </si>
  <si>
    <t xml:space="preserve">Package Purchased</t>
  </si>
  <si>
    <t xml:space="preserve">Agreed Price</t>
  </si>
  <si>
    <t xml:space="preserve">Deposit Required</t>
  </si>
  <si>
    <t xml:space="preserve">Deposit Paid</t>
  </si>
  <si>
    <t xml:space="preserve">Remaining Balance</t>
  </si>
  <si>
    <t xml:space="preserve">Payment Status</t>
  </si>
  <si>
    <t xml:space="preserve">Contract Signed?</t>
  </si>
  <si>
    <t xml:space="preserve">NDA?</t>
  </si>
  <si>
    <t xml:space="preserve">Formula Ownership</t>
  </si>
  <si>
    <t xml:space="preserve">Client Priority</t>
  </si>
  <si>
    <t xml:space="preserve">Relationship Status</t>
  </si>
  <si>
    <t xml:space="preserve">Notes</t>
  </si>
  <si>
    <t xml:space="preserve">FRAGRANCE PROJECTS — Development Tracker</t>
  </si>
  <si>
    <t xml:space="preserve">One row per fragrance. Overall Status, iteration count and staleness flags are calculated automatically.</t>
  </si>
  <si>
    <t xml:space="preserve">Project ID</t>
  </si>
  <si>
    <t xml:space="preserve">Client Name</t>
  </si>
  <si>
    <t xml:space="preserve">Fragrance Name / Working Name</t>
  </si>
  <si>
    <t xml:space="preserve">Project Start Date</t>
  </si>
  <si>
    <t xml:space="preserve">Target Completion Date</t>
  </si>
  <si>
    <t xml:space="preserve">Priority</t>
  </si>
  <si>
    <t xml:space="preserve">Overall Status</t>
  </si>
  <si>
    <t xml:space="preserve">Current Iteration</t>
  </si>
  <si>
    <t xml:space="preserve">Included Iterations</t>
  </si>
  <si>
    <t xml:space="preserve">Remaining Iterations</t>
  </si>
  <si>
    <t xml:space="preserve">Last Action Date</t>
  </si>
  <si>
    <t xml:space="preserve">Who Currently Needs to Act?</t>
  </si>
  <si>
    <t xml:space="preserve">Next Action Due</t>
  </si>
  <si>
    <t xml:space="preserve">Days Since Last Activity</t>
  </si>
  <si>
    <t xml:space="preserve">Formula Complete?</t>
  </si>
  <si>
    <t xml:space="preserve">Formula Approved?</t>
  </si>
  <si>
    <t xml:space="preserve">Documentation Complete?</t>
  </si>
  <si>
    <t xml:space="preserve">Production/Compounding Required?</t>
  </si>
  <si>
    <t xml:space="preserve">Final Delivery Complete?</t>
  </si>
  <si>
    <t xml:space="preserve">Spacer</t>
  </si>
  <si>
    <t xml:space="preserve">Overdue Flag</t>
  </si>
  <si>
    <t xml:space="preserve">Due Soon Flag</t>
  </si>
  <si>
    <t xml:space="preserve">Waiting On Us Flag</t>
  </si>
  <si>
    <t xml:space="preserve">Client Feedback Overdue Flag</t>
  </si>
  <si>
    <t xml:space="preserve">Iteration Limit Flag</t>
  </si>
  <si>
    <t xml:space="preserve">Low Margin Flag</t>
  </si>
  <si>
    <t xml:space="preserve">Unpaid Flag</t>
  </si>
  <si>
    <t xml:space="preserve">Urgent Flag</t>
  </si>
  <si>
    <t xml:space="preserve">Urgent Reason</t>
  </si>
  <si>
    <t xml:space="preserve">Deadline Rank</t>
  </si>
  <si>
    <t xml:space="preserve">Urgent Row Offset</t>
  </si>
  <si>
    <t xml:space="preserve">CLIENT BRIEF — Creative Brief Database</t>
  </si>
  <si>
    <t xml:space="preserve">Client Direction • Olfactive Direction • My Creative Interpretation. One row per fragrance, linked by Project ID.</t>
  </si>
  <si>
    <t xml:space="preserve">Target Customer</t>
  </si>
  <si>
    <t xml:space="preserve">Gender Positioning</t>
  </si>
  <si>
    <t xml:space="preserve">Target Age</t>
  </si>
  <si>
    <t xml:space="preserve">Intended Market</t>
  </si>
  <si>
    <t xml:space="preserve">Desired Retail Price</t>
  </si>
  <si>
    <t xml:space="preserve">Desired Concentration</t>
  </si>
  <si>
    <t xml:space="preserve">Bottle Size</t>
  </si>
  <si>
    <t xml:space="preserve">Product Type</t>
  </si>
  <si>
    <t xml:space="preserve">Client Description</t>
  </si>
  <si>
    <t xml:space="preserve">Overall Feeling</t>
  </si>
  <si>
    <t xml:space="preserve">Desired Opening</t>
  </si>
  <si>
    <t xml:space="preserve">Desired Heart</t>
  </si>
  <si>
    <t xml:space="preserve">Desired Drydown</t>
  </si>
  <si>
    <t xml:space="preserve">Top Notes Requested</t>
  </si>
  <si>
    <t xml:space="preserve">Heart Notes Requested</t>
  </si>
  <si>
    <t xml:space="preserve">Base Notes Requested</t>
  </si>
  <si>
    <t xml:space="preserve">Preferred Fragrance Families</t>
  </si>
  <si>
    <t xml:space="preserve">Reference Perfumes</t>
  </si>
  <si>
    <t xml:space="preserve">Materials/Notes They Like</t>
  </si>
  <si>
    <t xml:space="preserve">Materials/Notes They Dislike</t>
  </si>
  <si>
    <t xml:space="preserve">Must Include</t>
  </si>
  <si>
    <t xml:space="preserve">Must Avoid</t>
  </si>
  <si>
    <t xml:space="preserve">Desired Strength</t>
  </si>
  <si>
    <t xml:space="preserve">Desired Projection</t>
  </si>
  <si>
    <t xml:space="preserve">Desired Longevity</t>
  </si>
  <si>
    <t xml:space="preserve">Day/Night</t>
  </si>
  <si>
    <t xml:space="preserve">Commercial vs Artistic</t>
  </si>
  <si>
    <t xml:space="preserve">What I Think The Client Actually Wants</t>
  </si>
  <si>
    <t xml:space="preserve">Proposed DNA</t>
  </si>
  <si>
    <t xml:space="preserve">Recommended Top Direction</t>
  </si>
  <si>
    <t xml:space="preserve">Recommended Heart Direction</t>
  </si>
  <si>
    <t xml:space="preserve">Recommended Base Direction</t>
  </si>
  <si>
    <t xml:space="preserve">Suggested Materials</t>
  </si>
  <si>
    <t xml:space="preserve">Suggested Accords</t>
  </si>
  <si>
    <t xml:space="preserve">Potential Reference Structures</t>
  </si>
  <si>
    <t xml:space="preserve">Creative Twist</t>
  </si>
  <si>
    <t xml:space="preserve">Potential Problems With Brief</t>
  </si>
  <si>
    <t xml:space="preserve">Questions To Ask Client</t>
  </si>
  <si>
    <t xml:space="preserve">Development Strategy</t>
  </si>
  <si>
    <t xml:space="preserve">ITERATION TRACKER — Every Formula Version</t>
  </si>
  <si>
    <t xml:space="preserve">One row per iteration/version. Total Iteration Cost and per-project cost totals are calculated automatically.</t>
  </si>
  <si>
    <t xml:space="preserve">Iteration No.</t>
  </si>
  <si>
    <t xml:space="preserve">Formula Version</t>
  </si>
  <si>
    <t xml:space="preserve">Date Created</t>
  </si>
  <si>
    <t xml:space="preserve">Date Compounded</t>
  </si>
  <si>
    <t xml:space="preserve">Date Evaluated</t>
  </si>
  <si>
    <t xml:space="preserve">Sample Sent Date</t>
  </si>
  <si>
    <t xml:space="preserve">Sample Received Date</t>
  </si>
  <si>
    <t xml:space="preserve">Feedback Received Date</t>
  </si>
  <si>
    <t xml:space="preserve">Client Rating /10</t>
  </si>
  <si>
    <t xml:space="preserve">My Rating /10</t>
  </si>
  <si>
    <t xml:space="preserve">Client Feedback</t>
  </si>
  <si>
    <t xml:space="preserve">My Evaluation</t>
  </si>
  <si>
    <t xml:space="preserve">Changes Required</t>
  </si>
  <si>
    <t xml:space="preserve">Changes Made</t>
  </si>
  <si>
    <t xml:space="preserve">Next Version Required?</t>
  </si>
  <si>
    <t xml:space="preserve">Approved?</t>
  </si>
  <si>
    <t xml:space="preserve">Time Spent (hrs)</t>
  </si>
  <si>
    <t xml:space="preserve">Material Cost</t>
  </si>
  <si>
    <t xml:space="preserve">Shipping Cost</t>
  </si>
  <si>
    <t xml:space="preserve">Other Cost</t>
  </si>
  <si>
    <t xml:space="preserve">Total Iteration Cost</t>
  </si>
  <si>
    <t xml:space="preserve">PROJECT FINANCIALS — Profitability Calculator</t>
  </si>
  <si>
    <t xml:space="preserve">Expense columns pull automatically from the Expense Log by Project ID and category. Only Agreed Revenue and Hourly Rate are typed in.</t>
  </si>
  <si>
    <t xml:space="preserve">Agreed Revenue</t>
  </si>
  <si>
    <t xml:space="preserve">Deposit Received</t>
  </si>
  <si>
    <t xml:space="preserve">Remaining Revenue</t>
  </si>
  <si>
    <t xml:space="preserve">Materials</t>
  </si>
  <si>
    <t xml:space="preserve">Sample Bottles</t>
  </si>
  <si>
    <t xml:space="preserve">SDS Costs</t>
  </si>
  <si>
    <t xml:space="preserve">IFRA/Allergen Costs</t>
  </si>
  <si>
    <t xml:space="preserve">CPSR/Safety Assessment</t>
  </si>
  <si>
    <t xml:space="preserve">External Compounding</t>
  </si>
  <si>
    <t xml:space="preserve">Outsourcing</t>
  </si>
  <si>
    <t xml:space="preserve">Payment Processing Fees</t>
  </si>
  <si>
    <t xml:space="preserve">Other Expenses</t>
  </si>
  <si>
    <t xml:space="preserve">Total Direct Expenses</t>
  </si>
  <si>
    <t xml:space="preserve">Hours Worked</t>
  </si>
  <si>
    <t xml:space="preserve">Hourly Value of My Time</t>
  </si>
  <si>
    <t xml:space="preserve">Labour Cost</t>
  </si>
  <si>
    <t xml:space="preserve">True Project Cost</t>
  </si>
  <si>
    <t xml:space="preserve">Gross Profit Before Labour</t>
  </si>
  <si>
    <t xml:space="preserve">Profit After Labour</t>
  </si>
  <si>
    <t xml:space="preserve">Gross Margin %</t>
  </si>
  <si>
    <t xml:space="preserve">True Margin %</t>
  </si>
  <si>
    <t xml:space="preserve">Effective Hourly Earnings</t>
  </si>
  <si>
    <t xml:space="preserve">EXPENSE LOG — Detailed Expense Database</t>
  </si>
  <si>
    <t xml:space="preserve">Every cost, tagged by Project ID and category. Project Financials pulls these totals automatically.</t>
  </si>
  <si>
    <t xml:space="preserve">Date</t>
  </si>
  <si>
    <t xml:space="preserve">Expense Category</t>
  </si>
  <si>
    <t xml:space="preserve">Description</t>
  </si>
  <si>
    <t xml:space="preserve">Quantity</t>
  </si>
  <si>
    <t xml:space="preserve">Unit Cost</t>
  </si>
  <si>
    <t xml:space="preserve">Total Cost</t>
  </si>
  <si>
    <t xml:space="preserve">Paid?</t>
  </si>
  <si>
    <t xml:space="preserve">Receipt/Invoice Available?</t>
  </si>
  <si>
    <t xml:space="preserve">Business Expense Type</t>
  </si>
  <si>
    <t xml:space="preserve">PAYMENTS — Invoices &amp; Client Payments</t>
  </si>
  <si>
    <t xml:space="preserve">Total Amount is pulled from Project Financials. Payment Status and Days Overdue are calculated automatically.</t>
  </si>
  <si>
    <t xml:space="preserve">Invoice Number</t>
  </si>
  <si>
    <t xml:space="preserve">Invoice Date</t>
  </si>
  <si>
    <t xml:space="preserve">Total Amount</t>
  </si>
  <si>
    <t xml:space="preserve">Deposit Date</t>
  </si>
  <si>
    <t xml:space="preserve">Balance Due Date</t>
  </si>
  <si>
    <t xml:space="preserve">Balance Received</t>
  </si>
  <si>
    <t xml:space="preserve">Payment Method</t>
  </si>
  <si>
    <t xml:space="preserve">Days Overdue</t>
  </si>
  <si>
    <t xml:space="preserve">WORKLOAD PLANNER — Capacity &amp; Priorities</t>
  </si>
  <si>
    <t xml:space="preserve">Mirrors every fragrance project automatically. Urgency Score blends deadline, priority, iterations left and who's waiting on whom.</t>
  </si>
  <si>
    <t xml:space="preserve">Project / Fragrance</t>
  </si>
  <si>
    <t xml:space="preserve">Est. Hours Remaining</t>
  </si>
  <si>
    <t xml:space="preserve">Iterations Remaining</t>
  </si>
  <si>
    <t xml:space="preserve">Waiting On</t>
  </si>
  <si>
    <t xml:space="preserve">Urgency Score</t>
  </si>
  <si>
    <t xml:space="preserve">THIS WEEK — Automatically Generated Action List</t>
  </si>
  <si>
    <t xml:space="preserve">Category</t>
  </si>
  <si>
    <t xml:space="preserve">Count</t>
  </si>
  <si>
    <t xml:space="preserve">Example Projects (up to 3)</t>
  </si>
  <si>
    <t xml:space="preserve">Formulas to create</t>
  </si>
  <si>
    <t xml:space="preserve">Reformulations required</t>
  </si>
  <si>
    <t xml:space="preserve">Samples to compound</t>
  </si>
  <si>
    <t xml:space="preserve">Samples to ship</t>
  </si>
  <si>
    <t xml:space="preserve">Client feedback to review</t>
  </si>
  <si>
    <t xml:space="preserve">Documentation to complete</t>
  </si>
  <si>
    <t xml:space="preserve">Payments to chase</t>
  </si>
  <si>
    <t xml:space="preserve">CLIENT RISK — Watch List</t>
  </si>
  <si>
    <t xml:space="preserve">Answer the judgement-call questions; Contract/Deposit/Ownership/Budget/Margin/Payment are pulled in automatically. Risk Level and Attention Required are calculated.</t>
  </si>
  <si>
    <t xml:space="preserve">Scope Clearly Defined?</t>
  </si>
  <si>
    <t xml:space="preserve">Brief Clear?</t>
  </si>
  <si>
    <t xml:space="preserve">Deposit Paid?</t>
  </si>
  <si>
    <t xml:space="preserve">No. of Revisions Agreed</t>
  </si>
  <si>
    <t xml:space="preserve">Formula Ownership Agreed?</t>
  </si>
  <si>
    <t xml:space="preserve">Deadline Realistic?</t>
  </si>
  <si>
    <t xml:space="preserve">Client Responds Promptly?</t>
  </si>
  <si>
    <t xml:space="preserve">Client Frequently Changes Brief?</t>
  </si>
  <si>
    <t xml:space="preserve">Additional Work Requested?</t>
  </si>
  <si>
    <t xml:space="preserve">Project Exceeding Expected Hours?</t>
  </si>
  <si>
    <t xml:space="preserve">Expenses Exceeding Budget?</t>
  </si>
  <si>
    <t xml:space="preserve">Margin Becoming Too Low?</t>
  </si>
  <si>
    <t xml:space="preserve">Payment Overdue?</t>
  </si>
  <si>
    <t xml:space="preserve">Scope Creep?</t>
  </si>
  <si>
    <t xml:space="preserve">Compliance Requirements Understood?</t>
  </si>
  <si>
    <t xml:space="preserve">Manufacturing Responsibility Clear?</t>
  </si>
  <si>
    <t xml:space="preserve">Risk Level</t>
  </si>
  <si>
    <t xml:space="preserve">Attention Required</t>
  </si>
  <si>
    <t xml:space="preserve">PROJECT CLOSEOUT — Completed Project Retrospective</t>
  </si>
  <si>
    <t xml:space="preserve">Add a row once a fragrance is delivered and paid in full. Financial fields pull in automatically; the retrospective is for your own learning.</t>
  </si>
  <si>
    <t xml:space="preserve">Final Formula Version</t>
  </si>
  <si>
    <t xml:space="preserve">Approval Date</t>
  </si>
  <si>
    <t xml:space="preserve">Formula Delivered?</t>
  </si>
  <si>
    <t xml:space="preserve">SDS Delivered?</t>
  </si>
  <si>
    <t xml:space="preserve">IFRA Delivered?</t>
  </si>
  <si>
    <t xml:space="preserve">Allergen Info Delivered?</t>
  </si>
  <si>
    <t xml:space="preserve">Other Documentation Delivered?</t>
  </si>
  <si>
    <t xml:space="preserve">Final Invoice Paid?</t>
  </si>
  <si>
    <t xml:space="preserve">Formula Ownership Confirmed?</t>
  </si>
  <si>
    <t xml:space="preserve">Manufacturing Handover Complete?</t>
  </si>
  <si>
    <t xml:space="preserve">Final Revenue</t>
  </si>
  <si>
    <t xml:space="preserve">Final Expenses</t>
  </si>
  <si>
    <t xml:space="preserve">Final Profit</t>
  </si>
  <si>
    <t xml:space="preserve">Final Margin</t>
  </si>
  <si>
    <t xml:space="preserve">Total Hours</t>
  </si>
  <si>
    <t xml:space="preserve">No. of Iterations</t>
  </si>
  <si>
    <t xml:space="preserve">Client Satisfaction /10</t>
  </si>
  <si>
    <t xml:space="preserve">Would I Work With This Client Again?</t>
  </si>
  <si>
    <t xml:space="preserve">Lessons Learned</t>
  </si>
  <si>
    <t xml:space="preserve">What Went Well</t>
  </si>
  <si>
    <t xml:space="preserve">What I Would Change Next Time</t>
  </si>
  <si>
    <t xml:space="preserve">HOW TO USE THIS WORKBOOK</t>
  </si>
  <si>
    <t xml:space="preserve">A step-by-step guide to running your fragrance-development business through this system.</t>
  </si>
  <si>
    <t xml:space="preserve">This workbook is one connected system: enter a client and their fragrance once, and the Dashboard, Workload Planner, Client Risk and every calculator update automatically. Work through the eleven steps below in order for each new fragrance — they mirror how a real bespoke commission actually unfolds.</t>
  </si>
  <si>
    <t xml:space="preserve">TEAM SETUP — do this first</t>
  </si>
  <si>
    <t xml:space="preserve">This workbook is built for two people to share. Type each person's name below — it updates the “Assigned To” dropdown on Fragrance Projects/Workload Planner automatically, everywhere in the workbook.</t>
  </si>
  <si>
    <t xml:space="preserve">Team Member 1 name:</t>
  </si>
  <si>
    <t xml:space="preserve">Person A</t>
  </si>
  <si>
    <t xml:space="preserve">Team Member 2 name:</t>
  </si>
  <si>
    <t xml:space="preserve">Person B</t>
  </si>
  <si>
    <t xml:space="preserve">1</t>
  </si>
  <si>
    <t xml:space="preserve">A new enquiry arrives</t>
  </si>
  <si>
    <t xml:space="preserve">Add a row on Clients. Fill in Contact details, Lead Source, Project Type and set Relationship Status to Lead (or Quoted once you've sent pricing). Client Priority and Notes help you triage at a glance.</t>
  </si>
  <si>
    <t xml:space="preserve">Clients</t>
  </si>
  <si>
    <t xml:space="preserve">2</t>
  </si>
  <si>
    <t xml:space="preserve">A client signs</t>
  </si>
  <si>
    <t xml:space="preserve">Update Date Signed, Agreed Price, Deposit Required/Paid, Contract Signed? and NDA?. Set Relationship Status to Signed, then Active once work begins. Payment Status calculates itself.</t>
  </si>
  <si>
    <t xml:space="preserve">3</t>
  </si>
  <si>
    <t xml:space="preserve">I create their fragrance brief</t>
  </si>
  <si>
    <t xml:space="preserve">Add a row to Fragrance Projects (choose the Client ID from the dropdown — Client Name fills in automatically). Then add a matching row to Client Brief using the same Project ID and capture the client's direction, olfactive requests and — importantly — your own creative interpretation in the cream-tinted columns on the right.</t>
  </si>
  <si>
    <t xml:space="preserve">Fragrance Projects → Client Brief</t>
  </si>
  <si>
    <t xml:space="preserve">4</t>
  </si>
  <si>
    <t xml:space="preserve">I develop an iteration</t>
  </si>
  <si>
    <t xml:space="preserve">Add a row per version with Formula Version, dates, materials and costs. Current Iteration and Remaining Iterations on Fragrance Projects update automatically from this sheet, so you always know how many revisions are left on the package.</t>
  </si>
  <si>
    <t xml:space="preserve">Iteration Tracker</t>
  </si>
  <si>
    <t xml:space="preserve">5</t>
  </si>
  <si>
    <t xml:space="preserve">I send a sample</t>
  </si>
  <si>
    <t xml:space="preserve">Fill in Sample Sent Date on the iteration row. On Fragrance Projects, set Current Stage to Sample Sent and Who Currently Needs to Act? to Client — the Dashboard and Workload Planner pick this up immediately.</t>
  </si>
  <si>
    <t xml:space="preserve">Iteration Tracker → Fragrance Projects</t>
  </si>
  <si>
    <t xml:space="preserve">6</t>
  </si>
  <si>
    <t xml:space="preserve">Feedback arrives</t>
  </si>
  <si>
    <t xml:space="preserve">Log Feedback Received Date, Client Rating and their comments on the iteration row. Move Current Stage to Reformulation (if changes are needed) or Approved, and set Who Currently Needs to Act? to Us.</t>
  </si>
  <si>
    <t xml:space="preserve">7</t>
  </si>
  <si>
    <t xml:space="preserve">I reformulate</t>
  </si>
  <si>
    <t xml:space="preserve">Add the next iteration row with the changes made and their cost. Keep an eye on Remaining Iterations on Fragrance Projects (and the amber/red flag on the Dashboard) as you approach the included revision limit.</t>
  </si>
  <si>
    <t xml:space="preserve">8</t>
  </si>
  <si>
    <t xml:space="preserve">The perfume is approved</t>
  </si>
  <si>
    <t xml:space="preserve">Set Formula Approved? to Yes and Current Stage to Documentation. Review the Client Risk row for this project — Formula Ownership, compliance and payment status should all be resolved before production.</t>
  </si>
  <si>
    <t xml:space="preserve">Fragrance Projects → Client Risk</t>
  </si>
  <si>
    <t xml:space="preserve">9</t>
  </si>
  <si>
    <t xml:space="preserve">Documentation is prepared</t>
  </si>
  <si>
    <t xml:space="preserve">Log SDS, IFRA/allergen and CPSR costs on the Expense Log against this Project ID — Project Financials totals these automatically. Set Documentation Complete? to Yes on Fragrance Projects once issued.</t>
  </si>
  <si>
    <t xml:space="preserve">Fragrance Projects → Expense Log</t>
  </si>
  <si>
    <t xml:space="preserve">10</t>
  </si>
  <si>
    <t xml:space="preserve">Final payment is received</t>
  </si>
  <si>
    <t xml:space="preserve">Record Balance Received, Payment Method and any fees. Payment Status recalculates to Paid automatically, which clears the project from the Dashboard's unpaid-invoice alerts.</t>
  </si>
  <si>
    <t xml:space="preserve">Payments</t>
  </si>
  <si>
    <t xml:space="preserve">11</t>
  </si>
  <si>
    <t xml:space="preserve">The project is closed</t>
  </si>
  <si>
    <t xml:space="preserve">Add a row with delivery/handover checks and your retrospective notes. Revenue, expenses, profit, margin, hours and iteration count all pull in from Project Financials and Iteration Tracker — just capture what you learned.</t>
  </si>
  <si>
    <t xml:space="preserve">Project Closeout</t>
  </si>
  <si>
    <t xml:space="preserve">CELL COLOUR KEY</t>
  </si>
  <si>
    <t xml:space="preserve">Input cell</t>
  </si>
  <si>
    <t xml:space="preserve">Type or choose from a dropdown — this is where you enter data.</t>
  </si>
  <si>
    <t xml:space="preserve">Calculated cell</t>
  </si>
  <si>
    <t xml:space="preserve">A formula. Do not type over these — they update automatically.</t>
  </si>
  <si>
    <t xml:space="preserve">Auto-lookup cell</t>
  </si>
  <si>
    <t xml:space="preserve">Pulled in from another sheet via the Project ID or Client ID.</t>
  </si>
  <si>
    <t xml:space="preserve">Red flag</t>
  </si>
  <si>
    <t xml:space="preserve">Overdue, unprofitable, or otherwise urgent — deal with this first.</t>
  </si>
  <si>
    <t xml:space="preserve">Amber flag</t>
  </si>
  <si>
    <t xml:space="preserve">Needs attention soon — approaching a deadline or limit.</t>
  </si>
  <si>
    <t xml:space="preserve">Green flag</t>
  </si>
  <si>
    <t xml:space="preserve">Healthy, on track, or successfully completed.</t>
  </si>
  <si>
    <t xml:space="preserve">Grey flag</t>
  </si>
  <si>
    <t xml:space="preserve">Waiting on the client, or paused / on hold.</t>
  </si>
  <si>
    <t xml:space="preserve">SHEET MAP</t>
  </si>
  <si>
    <t xml:space="preserve">Dashboard</t>
  </si>
  <si>
    <t xml:space="preserve">Live overview: KPIs, urgent items, upcoming deadlines, charts. Nothing is entered here.</t>
  </si>
  <si>
    <t xml:space="preserve">Master client / brand database — CRM and commercial terms.</t>
  </si>
  <si>
    <t xml:space="preserve">Fragrance Projects</t>
  </si>
  <si>
    <t xml:space="preserve">One row per fragrance. The spine of the workbook — everything links through Project ID.</t>
  </si>
  <si>
    <t xml:space="preserve">Client Brief</t>
  </si>
  <si>
    <t xml:space="preserve">The creative brief: what the client wants, and your interpretation of it.</t>
  </si>
  <si>
    <t xml:space="preserve">Every formula version, its feedback, rating and cost.</t>
  </si>
  <si>
    <t xml:space="preserve">Project Financials</t>
  </si>
  <si>
    <t xml:space="preserve">Profitability per project — pulls expenses and hours in automatically.</t>
  </si>
  <si>
    <t xml:space="preserve">Expense Log</t>
  </si>
  <si>
    <t xml:space="preserve">Every cost, tagged by Project ID and category.</t>
  </si>
  <si>
    <t xml:space="preserve">Invoices, deposits, balances and payment status.</t>
  </si>
  <si>
    <t xml:space="preserve">Workload Planner</t>
  </si>
  <si>
    <t xml:space="preserve">What's most urgent right now, and this week's action list.</t>
  </si>
  <si>
    <t xml:space="preserve">Client Risk</t>
  </si>
  <si>
    <t xml:space="preserve">Early-warning checklist for projects that could become difficult or unprofitable.</t>
  </si>
  <si>
    <t xml:space="preserve">Retrospective record once a fragrance is delivered and paid.</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</si>
</sst>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dd\ mmm\ yyyy"/>
    <numFmt numFmtId="169" formatCode="dd\ mmm\ yy"/>
    <numFmt numFmtId="170" formatCode="\$#,##0.00"/>
  </numFmts>
  <fonts count="35">
    <font>
      <sz val="11"/>
      <color theme="1"/>
      <name val="Calibri"/>
      <family val="2"/>
      <charset val="1"/>
    </font>
    <font>
      <sz val="10"/>
      <name val="Arial"/>
      <family val="0"/>
    </font>
    <font>
      <sz val="10"/>
      <name val="Arial"/>
      <family val="0"/>
    </font>
    <font>
      <sz val="10"/>
      <name val="Arial"/>
      <family val="0"/>
    </font>
    <font>
      <b val="true"/>
      <sz val="9"/>
      <color rgb="FF1F2A24"/>
      <name val="Arial"/>
      <family val="0"/>
      <charset val="1"/>
    </font>
    <font>
      <sz val="9"/>
      <color rgb="FF1F2A24"/>
      <name val="Arial"/>
      <family val="0"/>
      <charset val="1"/>
    </font>
    <font>
      <b val="true"/>
      <sz val="17"/>
      <color rgb="FFFFFFFF"/>
      <name val="Arial"/>
      <family val="0"/>
      <charset val="1"/>
    </font>
    <font>
      <i val="true"/>
      <sz val="10"/>
      <color rgb="FF6B6458"/>
      <name val="Arial"/>
      <family val="0"/>
      <charset val="1"/>
    </font>
    <font>
      <b val="true"/>
      <sz val="12.5"/>
      <color rgb="FFFFFFFF"/>
      <name val="Arial"/>
      <family val="0"/>
      <charset val="1"/>
    </font>
    <font>
      <b val="true"/>
      <sz val="8"/>
      <color rgb="FF8A8272"/>
      <name val="Arial"/>
      <family val="0"/>
      <charset val="1"/>
    </font>
    <font>
      <b val="true"/>
      <sz val="21"/>
      <color rgb="FF1F2A24"/>
      <name val="Arial"/>
      <family val="0"/>
      <charset val="1"/>
    </font>
    <font>
      <b val="true"/>
      <sz val="21"/>
      <color rgb="FFB08D57"/>
      <name val="Arial"/>
      <family val="0"/>
      <charset val="1"/>
    </font>
    <font>
      <b val="true"/>
      <sz val="21"/>
      <color rgb="FFB9770E"/>
      <name val="Arial"/>
      <family val="0"/>
      <charset val="1"/>
    </font>
    <font>
      <b val="true"/>
      <sz val="21"/>
      <color rgb="FF8A2E22"/>
      <name val="Arial"/>
      <family val="0"/>
      <charset val="1"/>
    </font>
    <font>
      <b val="true"/>
      <sz val="21"/>
      <color rgb="FF215732"/>
      <name val="Arial"/>
      <family val="0"/>
      <charset val="1"/>
    </font>
    <font>
      <b val="true"/>
      <sz val="10"/>
      <color rgb="FFFFFFFF"/>
      <name val="Arial"/>
      <family val="0"/>
      <charset val="1"/>
    </font>
    <font>
      <i val="true"/>
      <sz val="11"/>
      <color rgb="FF44504A"/>
      <name val="Arial"/>
      <family val="0"/>
      <charset val="1"/>
    </font>
    <font>
      <i val="true"/>
      <sz val="8.5"/>
      <color rgb="FF8A8272"/>
      <name val="Arial"/>
      <family val="0"/>
      <charset val="1"/>
    </font>
    <font>
      <i val="true"/>
      <sz val="7.5"/>
      <color rgb="FF8A8272"/>
      <name val="Arial"/>
      <family val="0"/>
      <charset val="1"/>
    </font>
    <font>
      <b val="true"/>
      <sz val="18"/>
      <color rgb="FF000000"/>
      <name val="Calibri"/>
      <family val="2"/>
    </font>
    <font>
      <sz val="10"/>
      <color rgb="FF000000"/>
      <name val="Calibri"/>
      <family val="2"/>
    </font>
    <font>
      <i val="true"/>
      <sz val="9.5"/>
      <color rgb="FF6B6458"/>
      <name val="Arial"/>
      <family val="0"/>
      <charset val="1"/>
    </font>
    <font>
      <i val="true"/>
      <sz val="8.5"/>
      <color rgb="FF6B6458"/>
      <name val="Arial"/>
      <family val="0"/>
      <charset val="1"/>
    </font>
    <font>
      <sz val="11"/>
      <color rgb="FF1F2A24"/>
      <name val="Arial"/>
      <family val="0"/>
      <charset val="1"/>
    </font>
    <font>
      <sz val="9.5"/>
      <color rgb="FF1F2A24"/>
      <name val="Arial"/>
      <family val="0"/>
      <charset val="1"/>
    </font>
    <font>
      <b val="true"/>
      <sz val="13"/>
      <color rgb="FFFFFFFF"/>
      <name val="Arial"/>
      <family val="0"/>
      <charset val="1"/>
    </font>
    <font>
      <b val="true"/>
      <sz val="10"/>
      <color rgb="FF1F2A24"/>
      <name val="Arial"/>
      <family val="0"/>
      <charset val="1"/>
    </font>
    <font>
      <i val="true"/>
      <sz val="10.5"/>
      <color rgb="FF44504A"/>
      <name val="Arial"/>
      <family val="0"/>
      <charset val="1"/>
    </font>
    <font>
      <b val="true"/>
      <sz val="11.5"/>
      <color rgb="FFFFFFFF"/>
      <name val="Arial"/>
      <family val="0"/>
      <charset val="1"/>
    </font>
    <font>
      <i val="true"/>
      <sz val="9.5"/>
      <color rgb="FF44504A"/>
      <name val="Arial"/>
      <family val="0"/>
      <charset val="1"/>
    </font>
    <font>
      <b val="true"/>
      <sz val="16"/>
      <color rgb="FFB08D57"/>
      <name val="Arial"/>
      <family val="0"/>
      <charset val="1"/>
    </font>
    <font>
      <b val="true"/>
      <sz val="11.5"/>
      <color rgb="FF1F2A24"/>
      <name val="Arial"/>
      <family val="0"/>
      <charset val="1"/>
    </font>
    <font>
      <sz val="10"/>
      <color rgb="FF333B36"/>
      <name val="Arial"/>
      <family val="0"/>
      <charset val="1"/>
    </font>
    <font>
      <i val="true"/>
      <sz val="9"/>
      <color rgb="FFB08D57"/>
      <name val="Arial"/>
      <family val="0"/>
      <charset val="1"/>
    </font>
    <font>
      <sz val="9.5"/>
      <color rgb="FF44504A"/>
      <name val="Arial"/>
      <family val="0"/>
      <charset val="1"/>
    </font>
  </fonts>
  <fills count="15">
    <fill>
      <patternFill patternType="none"/>
    </fill>
    <fill>
      <patternFill patternType="gray125"/>
    </fill>
    <fill>
      <patternFill patternType="solid">
        <fgColor rgb="FF2E2A25"/>
        <bgColor rgb="FF1F2A24"/>
      </patternFill>
    </fill>
    <fill>
      <patternFill patternType="solid">
        <fgColor rgb="FF3D372E"/>
        <bgColor rgb="FF333B36"/>
      </patternFill>
    </fill>
    <fill>
      <patternFill patternType="solid">
        <fgColor rgb="FFFFFFFF"/>
        <bgColor rgb="FFFBF9F5"/>
      </patternFill>
    </fill>
    <fill>
      <patternFill patternType="solid">
        <fgColor rgb="FFF2F4F1"/>
        <bgColor rgb="FFEFF3F6"/>
      </patternFill>
    </fill>
    <fill>
      <patternFill patternType="solid">
        <fgColor rgb="FFFFF7DE"/>
        <bgColor rgb="FFFBF3E6"/>
      </patternFill>
    </fill>
    <fill>
      <patternFill patternType="solid">
        <fgColor rgb="FFEFF3F6"/>
        <bgColor rgb="FFF2F4F1"/>
      </patternFill>
    </fill>
    <fill>
      <patternFill patternType="solid">
        <fgColor rgb="FFFBF3E6"/>
        <bgColor rgb="FFFFF7DE"/>
      </patternFill>
    </fill>
    <fill>
      <patternFill patternType="solid">
        <fgColor rgb="FFEFE9DD"/>
        <bgColor rgb="FFE4E2DC"/>
      </patternFill>
    </fill>
    <fill>
      <patternFill patternType="solid">
        <fgColor rgb="FFFBF9F5"/>
        <bgColor rgb="FFFFFFFF"/>
      </patternFill>
    </fill>
    <fill>
      <patternFill patternType="solid">
        <fgColor rgb="FFF8D3D0"/>
        <bgColor rgb="FFE9DFC9"/>
      </patternFill>
    </fill>
    <fill>
      <patternFill patternType="solid">
        <fgColor rgb="FFFBE6C3"/>
        <bgColor rgb="FFEFE9DD"/>
      </patternFill>
    </fill>
    <fill>
      <patternFill patternType="solid">
        <fgColor rgb="FFDCEEDB"/>
        <bgColor rgb="FFE4E2DC"/>
      </patternFill>
    </fill>
    <fill>
      <patternFill patternType="solid">
        <fgColor rgb="FFE4E2DC"/>
        <bgColor rgb="FFE9DFC9"/>
      </patternFill>
    </fill>
  </fills>
  <borders count="3">
    <border diagonalUp="false" diagonalDown="false">
      <left/>
      <right/>
      <top/>
      <bottom/>
      <diagonal/>
    </border>
    <border diagonalUp="false" diagonalDown="false">
      <left style="thin">
        <color rgb="FFD8D1C2"/>
      </left>
      <right style="thin">
        <color rgb="FFD8D1C2"/>
      </right>
      <top style="thin">
        <color rgb="FFD8D1C2"/>
      </top>
      <bottom style="thin">
        <color rgb="FFD8D1C2"/>
      </bottom>
      <diagonal/>
    </border>
    <border diagonalUp="false" diagonalDown="false">
      <left/>
      <right/>
      <top/>
      <bottom style="thin">
        <color rgb="FFD8D1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left" vertical="center" textRotation="0" wrapText="false" indent="1" shrinkToFit="false"/>
      <protection locked="true" hidden="false"/>
    </xf>
    <xf numFmtId="164" fontId="7" fillId="0" borderId="0" xfId="0" applyFont="true" applyBorder="true" applyAlignment="true" applyProtection="true">
      <alignment horizontal="left" vertical="center" textRotation="0" wrapText="false" indent="1" shrinkToFit="false"/>
      <protection locked="true" hidden="false"/>
    </xf>
    <xf numFmtId="164" fontId="8" fillId="3" borderId="0" xfId="0" applyFont="true" applyBorder="true" applyAlignment="true" applyProtection="true">
      <alignment horizontal="left" vertical="center" textRotation="0" wrapText="false" indent="1" shrinkToFit="false"/>
      <protection locked="true" hidden="false"/>
    </xf>
    <xf numFmtId="164" fontId="9" fillId="4" borderId="1" xfId="0" applyFont="true" applyBorder="true" applyAlignment="true" applyProtection="true">
      <alignment horizontal="left" vertical="center" textRotation="0" wrapText="false" indent="1" shrinkToFit="false"/>
      <protection locked="true" hidden="false"/>
    </xf>
    <xf numFmtId="165" fontId="10" fillId="4" borderId="1" xfId="0" applyFont="true" applyBorder="true" applyAlignment="true" applyProtection="true">
      <alignment horizontal="left" vertical="center" textRotation="0" wrapText="false" indent="1" shrinkToFit="false"/>
      <protection locked="true" hidden="false"/>
    </xf>
    <xf numFmtId="165" fontId="11" fillId="4" borderId="1" xfId="0" applyFont="true" applyBorder="true" applyAlignment="true" applyProtection="true">
      <alignment horizontal="left" vertical="center" textRotation="0" wrapText="false" indent="1" shrinkToFit="false"/>
      <protection locked="true" hidden="false"/>
    </xf>
    <xf numFmtId="165" fontId="12" fillId="4" borderId="1" xfId="0" applyFont="true" applyBorder="true" applyAlignment="true" applyProtection="true">
      <alignment horizontal="left" vertical="center" textRotation="0" wrapText="false" indent="1" shrinkToFit="false"/>
      <protection locked="true" hidden="false"/>
    </xf>
    <xf numFmtId="165" fontId="13" fillId="4" borderId="1" xfId="0" applyFont="true" applyBorder="true" applyAlignment="true" applyProtection="true">
      <alignment horizontal="left" vertical="center" textRotation="0" wrapText="false" indent="1" shrinkToFit="false"/>
      <protection locked="true" hidden="false"/>
    </xf>
    <xf numFmtId="166" fontId="10" fillId="4" borderId="1" xfId="0" applyFont="true" applyBorder="true" applyAlignment="true" applyProtection="true">
      <alignment horizontal="left" vertical="center" textRotation="0" wrapText="false" indent="1" shrinkToFit="false"/>
      <protection locked="true" hidden="false"/>
    </xf>
    <xf numFmtId="166" fontId="14" fillId="4" borderId="1" xfId="0" applyFont="true" applyBorder="true" applyAlignment="true" applyProtection="true">
      <alignment horizontal="left" vertical="center" textRotation="0" wrapText="false" indent="1" shrinkToFit="false"/>
      <protection locked="true" hidden="false"/>
    </xf>
    <xf numFmtId="166" fontId="12" fillId="4" borderId="1" xfId="0" applyFont="true" applyBorder="true" applyAlignment="true" applyProtection="true">
      <alignment horizontal="left" vertical="center" textRotation="0" wrapText="false" indent="1" shrinkToFit="false"/>
      <protection locked="true" hidden="false"/>
    </xf>
    <xf numFmtId="167" fontId="10" fillId="4" borderId="1" xfId="0" applyFont="true" applyBorder="true" applyAlignment="true" applyProtection="true">
      <alignment horizontal="left" vertical="center" textRotation="0" wrapText="false" indent="1" shrinkToFit="false"/>
      <protection locked="true" hidden="false"/>
    </xf>
    <xf numFmtId="165" fontId="14" fillId="4" borderId="1" xfId="0" applyFont="true" applyBorder="true" applyAlignment="true" applyProtection="true">
      <alignment horizontal="left" vertical="center" textRotation="0" wrapText="false" indent="1" shrinkToFit="false"/>
      <protection locked="true" hidden="false"/>
    </xf>
    <xf numFmtId="164" fontId="15" fillId="3" borderId="1" xfId="0" applyFont="true" applyBorder="true" applyAlignment="true" applyProtection="true">
      <alignment horizontal="center" vertical="center" textRotation="0" wrapText="true" indent="0" shrinkToFit="false"/>
      <protection locked="true" hidden="false"/>
    </xf>
    <xf numFmtId="164" fontId="16" fillId="5" borderId="1" xfId="0" applyFont="true" applyBorder="true" applyAlignment="true" applyProtection="true">
      <alignment horizontal="left" vertical="center" textRotation="0" wrapText="false" indent="0" shrinkToFit="false"/>
      <protection locked="true" hidden="false"/>
    </xf>
    <xf numFmtId="164" fontId="16" fillId="5" borderId="1" xfId="0" applyFont="true" applyBorder="true" applyAlignment="true" applyProtection="true">
      <alignment horizontal="left" vertical="top" textRotation="0" wrapText="true" indent="0" shrinkToFit="false"/>
      <protection locked="true" hidden="false"/>
    </xf>
    <xf numFmtId="164" fontId="16" fillId="5" borderId="1" xfId="0" applyFont="true" applyBorder="true" applyAlignment="true" applyProtection="true">
      <alignment horizontal="center" vertical="center" textRotation="0" wrapText="true" indent="0" shrinkToFit="false"/>
      <protection locked="true" hidden="false"/>
    </xf>
    <xf numFmtId="168" fontId="16" fillId="5" borderId="1" xfId="0" applyFont="true" applyBorder="tru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left" vertical="center" textRotation="0" wrapText="false" indent="1" shrinkToFit="false"/>
      <protection locked="true" hidden="false"/>
    </xf>
    <xf numFmtId="164" fontId="0" fillId="6" borderId="1" xfId="0" applyFont="fals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7" borderId="1" xfId="0" applyFont="false" applyBorder="true" applyAlignment="true" applyProtection="true">
      <alignment horizontal="general" vertical="bottom" textRotation="0" wrapText="false" indent="0" shrinkToFit="false"/>
      <protection locked="true" hidden="false"/>
    </xf>
    <xf numFmtId="164" fontId="23" fillId="6" borderId="1" xfId="0" applyFont="true" applyBorder="true" applyAlignment="true" applyProtection="true">
      <alignment horizontal="general" vertical="bottom" textRotation="0" wrapText="false" indent="0" shrinkToFit="false"/>
      <protection locked="false" hidden="false"/>
    </xf>
    <xf numFmtId="168" fontId="23" fillId="6" borderId="1" xfId="0" applyFont="true" applyBorder="true" applyAlignment="true" applyProtection="true">
      <alignment horizontal="general" vertical="bottom" textRotation="0" wrapText="false" indent="0" shrinkToFit="false"/>
      <protection locked="false" hidden="false"/>
    </xf>
    <xf numFmtId="166" fontId="23" fillId="6" borderId="1" xfId="0" applyFont="true" applyBorder="true" applyAlignment="true" applyProtection="true">
      <alignment horizontal="general" vertical="bottom" textRotation="0" wrapText="false" indent="0" shrinkToFit="false"/>
      <protection locked="false" hidden="false"/>
    </xf>
    <xf numFmtId="166" fontId="16" fillId="5" borderId="1" xfId="0" applyFont="true" applyBorder="true" applyAlignment="true" applyProtection="true">
      <alignment horizontal="general" vertical="bottom" textRotation="0" wrapText="false" indent="0" shrinkToFit="false"/>
      <protection locked="true" hidden="false"/>
    </xf>
    <xf numFmtId="164" fontId="23" fillId="6" borderId="1" xfId="0" applyFont="true" applyBorder="true" applyAlignment="true" applyProtection="true">
      <alignment horizontal="left" vertical="top" textRotation="0" wrapText="true" indent="0" shrinkToFit="false"/>
      <protection locked="false" hidden="false"/>
    </xf>
    <xf numFmtId="164" fontId="23" fillId="6" borderId="1" xfId="0" applyFont="true" applyBorder="true" applyAlignment="true" applyProtection="true">
      <alignment horizontal="center" vertical="center" textRotation="0" wrapText="true" indent="0" shrinkToFit="false"/>
      <protection locked="false" hidden="false"/>
    </xf>
    <xf numFmtId="164" fontId="23" fillId="8" borderId="1" xfId="0" applyFont="true" applyBorder="true" applyAlignment="true" applyProtection="true">
      <alignment horizontal="left" vertical="top" textRotation="0" wrapText="tru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9" fontId="23" fillId="6" borderId="1" xfId="0" applyFont="true" applyBorder="true" applyAlignment="true" applyProtection="true">
      <alignment horizontal="general" vertical="bottom" textRotation="0" wrapText="false" indent="0" shrinkToFit="false"/>
      <protection locked="false" hidden="false"/>
    </xf>
    <xf numFmtId="164" fontId="24" fillId="0" borderId="1" xfId="0" applyFont="true" applyBorder="true" applyAlignment="true" applyProtection="true">
      <alignment horizontal="general" vertical="bottom" textRotation="0" wrapText="false" indent="0" shrinkToFit="false"/>
      <protection locked="true" hidden="false"/>
    </xf>
    <xf numFmtId="170" fontId="23" fillId="6" borderId="1" xfId="0" applyFont="true" applyBorder="true" applyAlignment="true" applyProtection="true">
      <alignment horizontal="general" vertical="bottom" textRotation="0" wrapText="false" indent="0" shrinkToFit="false"/>
      <protection locked="false" hidden="false"/>
    </xf>
    <xf numFmtId="167" fontId="16" fillId="5" borderId="1" xfId="0" applyFont="true" applyBorder="true" applyAlignment="true" applyProtection="true">
      <alignment horizontal="general" vertical="bottom" textRotation="0" wrapText="false" indent="0" shrinkToFit="false"/>
      <protection locked="true" hidden="false"/>
    </xf>
    <xf numFmtId="170" fontId="16" fillId="5" borderId="1" xfId="0" applyFont="true" applyBorder="true" applyAlignment="true" applyProtection="true">
      <alignment horizontal="general" vertical="bottom" textRotation="0" wrapText="false" indent="0" shrinkToFit="false"/>
      <protection locked="true" hidden="false"/>
    </xf>
    <xf numFmtId="166" fontId="16" fillId="5" borderId="1" xfId="0" applyFont="true" applyBorder="true" applyAlignment="true" applyProtection="true">
      <alignment horizontal="center" vertical="center" textRotation="0" wrapText="true" indent="0" shrinkToFit="false"/>
      <protection locked="true" hidden="false"/>
    </xf>
    <xf numFmtId="168" fontId="16" fillId="5" borderId="1" xfId="0" applyFont="true" applyBorder="true" applyAlignment="true" applyProtection="true">
      <alignment horizontal="general" vertical="bottom" textRotation="0" wrapText="false" indent="0" shrinkToFit="false"/>
      <protection locked="true" hidden="false"/>
    </xf>
    <xf numFmtId="164" fontId="25" fillId="2" borderId="0" xfId="0" applyFont="true" applyBorder="true" applyAlignment="true" applyProtection="true">
      <alignment horizontal="left" vertical="center" textRotation="0" wrapText="false" indent="1" shrinkToFit="false"/>
      <protection locked="true" hidden="false"/>
    </xf>
    <xf numFmtId="164" fontId="26" fillId="9"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center" vertical="center" textRotation="0" wrapText="true" indent="0" shrinkToFit="false"/>
      <protection locked="true" hidden="false"/>
    </xf>
    <xf numFmtId="164" fontId="27" fillId="0" borderId="0" xfId="0" applyFont="true" applyBorder="true" applyAlignment="true" applyProtection="true">
      <alignment horizontal="left" vertical="top" textRotation="0" wrapText="true" indent="0" shrinkToFit="false"/>
      <protection locked="true" hidden="false"/>
    </xf>
    <xf numFmtId="164" fontId="28" fillId="3" borderId="0" xfId="0" applyFont="true" applyBorder="true" applyAlignment="true" applyProtection="true">
      <alignment horizontal="left" vertical="center" textRotation="0" wrapText="false" indent="1" shrinkToFit="false"/>
      <protection locked="true" hidden="false"/>
    </xf>
    <xf numFmtId="164" fontId="29" fillId="0" borderId="0" xfId="0" applyFont="true" applyBorder="true" applyAlignment="true" applyProtection="true">
      <alignment horizontal="left" vertical="top" textRotation="0" wrapText="tru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6" fillId="6" borderId="1" xfId="0" applyFont="true" applyBorder="true" applyAlignment="true" applyProtection="true">
      <alignment horizontal="general" vertical="bottom" textRotation="0" wrapText="false" indent="0" shrinkToFit="false"/>
      <protection locked="true" hidden="false"/>
    </xf>
    <xf numFmtId="164" fontId="30" fillId="10" borderId="2" xfId="0" applyFont="true" applyBorder="true" applyAlignment="true" applyProtection="true">
      <alignment horizontal="center" vertical="center" textRotation="0" wrapText="false" indent="0" shrinkToFit="false"/>
      <protection locked="true" hidden="false"/>
    </xf>
    <xf numFmtId="164" fontId="31" fillId="10" borderId="0" xfId="0" applyFont="true" applyBorder="false" applyAlignment="true" applyProtection="true">
      <alignment horizontal="general" vertical="center" textRotation="0" wrapText="false" indent="0" shrinkToFit="false"/>
      <protection locked="true" hidden="false"/>
    </xf>
    <xf numFmtId="164" fontId="32" fillId="10" borderId="2" xfId="0" applyFont="true" applyBorder="true" applyAlignment="true" applyProtection="true">
      <alignment horizontal="left" vertical="top" textRotation="0" wrapText="true" indent="0" shrinkToFit="false"/>
      <protection locked="true" hidden="false"/>
    </xf>
    <xf numFmtId="164" fontId="33" fillId="10" borderId="2" xfId="0" applyFont="true" applyBorder="true" applyAlignment="true" applyProtection="true">
      <alignment horizontal="general" vertical="top" textRotation="0" wrapText="true" indent="0" shrinkToFit="false"/>
      <protection locked="true" hidden="false"/>
    </xf>
    <xf numFmtId="164" fontId="28" fillId="3" borderId="0" xfId="0" applyFont="true" applyBorder="true" applyAlignment="true" applyProtection="true">
      <alignment horizontal="general" vertical="center" textRotation="0" wrapText="false" indent="1" shrinkToFit="false"/>
      <protection locked="true" hidden="false"/>
    </xf>
    <xf numFmtId="164" fontId="34" fillId="0" borderId="0" xfId="0" applyFont="true" applyBorder="true" applyAlignment="true" applyProtection="true">
      <alignment horizontal="general" vertical="bottom" textRotation="0" wrapText="false" indent="0" shrinkToFit="false"/>
      <protection locked="true" hidden="false"/>
    </xf>
    <xf numFmtId="164" fontId="0" fillId="11" borderId="1" xfId="0" applyFont="false" applyBorder="true" applyAlignment="true" applyProtection="true">
      <alignment horizontal="general" vertical="bottom" textRotation="0" wrapText="false" indent="0" shrinkToFit="false"/>
      <protection locked="true" hidden="false"/>
    </xf>
    <xf numFmtId="164" fontId="0" fillId="12" borderId="1" xfId="0" applyFont="false" applyBorder="true" applyAlignment="true" applyProtection="true">
      <alignment horizontal="general" vertical="bottom" textRotation="0" wrapText="false" indent="0" shrinkToFit="false"/>
      <protection locked="true" hidden="false"/>
    </xf>
    <xf numFmtId="164" fontId="0" fillId="13" borderId="1" xfId="0" applyFont="false" applyBorder="true" applyAlignment="true" applyProtection="true">
      <alignment horizontal="general" vertical="bottom" textRotation="0" wrapText="false" indent="0" shrinkToFit="false"/>
      <protection locked="true" hidden="false"/>
    </xf>
    <xf numFmtId="164" fontId="0" fillId="14" borderId="1" xfId="0" applyFont="false" applyBorder="true" applyAlignment="true" applyProtection="true">
      <alignment horizontal="general" vertical="bottom" textRotation="0" wrapText="false" indent="0" shrinkToFit="false"/>
      <protection locked="true" hidden="false"/>
    </xf>
    <xf numFmtId="164" fontId="34" fillId="0" borderId="0"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ont>
        <name val="Arial"/>
        <charset val="1"/>
        <family val="0"/>
        <b val="1"/>
        <color rgb="FF8A2E22"/>
        <sz val="21"/>
      </font>
    </dxf>
    <dxf>
      <font>
        <name val="Arial"/>
        <charset val="1"/>
        <family val="0"/>
        <b val="1"/>
        <color rgb="FF8A5A12"/>
        <sz val="21"/>
      </font>
    </dxf>
    <dxf>
      <font>
        <name val="Arial"/>
        <charset val="1"/>
        <family val="0"/>
        <b val="1"/>
        <color rgb="FF8A2E22"/>
        <sz val="11"/>
      </font>
      <fill>
        <patternFill>
          <bgColor rgb="FFF8D3D0"/>
        </patternFill>
      </fill>
    </dxf>
    <dxf>
      <font>
        <name val="Arial"/>
        <charset val="1"/>
        <family val="0"/>
        <color rgb="FF8A5A12"/>
        <sz val="11"/>
      </font>
      <fill>
        <patternFill>
          <bgColor rgb="FFFBE6C3"/>
        </patternFill>
      </fill>
    </dxf>
    <dxf>
      <font>
        <name val="Arial"/>
        <charset val="1"/>
        <family val="0"/>
        <color rgb="FF8A2E22"/>
        <sz val="11"/>
      </font>
      <fill>
        <patternFill>
          <bgColor rgb="FFF8D3D0"/>
        </patternFill>
      </fill>
    </dxf>
    <dxf>
      <font>
        <name val="Arial"/>
        <charset val="1"/>
        <family val="0"/>
        <color rgb="FF215732"/>
        <sz val="11"/>
      </font>
      <fill>
        <patternFill>
          <bgColor rgb="FFDCEEDB"/>
        </patternFill>
      </fill>
    </dxf>
    <dxf>
      <font>
        <name val="Arial"/>
        <charset val="1"/>
        <family val="0"/>
        <color rgb="FF5B5952"/>
        <sz val="11"/>
      </font>
      <fill>
        <patternFill>
          <bgColor rgb="FFE4E2DC"/>
        </patternFill>
      </fill>
    </dxf>
    <dxf>
      <fill>
        <patternFill patternType="solid">
          <fgColor rgb="FF3D372E"/>
          <bgColor rgb="FF000000"/>
        </patternFill>
      </fill>
    </dxf>
    <dxf>
      <fill>
        <patternFill patternType="solid">
          <fgColor rgb="FFFFF7DE"/>
          <bgColor rgb="FF000000"/>
        </patternFill>
      </fill>
    </dxf>
    <dxf>
      <fill>
        <patternFill patternType="solid">
          <fgColor rgb="FF1F2A24"/>
          <bgColor rgb="FF000000"/>
        </patternFill>
      </fill>
    </dxf>
    <dxf>
      <fill>
        <patternFill patternType="solid">
          <fgColor rgb="FFFFFFFF"/>
          <bgColor rgb="FF000000"/>
        </patternFill>
      </fill>
    </dxf>
    <dxf>
      <fill>
        <patternFill patternType="solid">
          <fgColor rgb="FFF2F4F1"/>
          <bgColor rgb="FF000000"/>
        </patternFill>
      </fill>
    </dxf>
    <dxf>
      <fill>
        <patternFill patternType="solid">
          <fgColor rgb="FF44504A"/>
          <bgColor rgb="FF000000"/>
        </patternFill>
      </fill>
    </dxf>
    <dxf>
      <font>
        <b val="1"/>
        <color rgb="FF1F2A24"/>
      </font>
      <fill>
        <patternFill>
          <bgColor rgb="FFE9DFC9"/>
        </patternFill>
      </fill>
    </dxf>
    <dxf>
      <fill>
        <patternFill patternType="solid">
          <bgColor rgb="FF000000"/>
        </patternFill>
      </fill>
    </dxf>
    <dxf>
      <fill>
        <patternFill patternType="solid">
          <fgColor rgb="FF000000"/>
          <bgColor rgb="FF000000"/>
        </patternFill>
      </fill>
    </dxf>
    <dxf>
      <font>
        <name val="Arial"/>
        <charset val="1"/>
        <family val="0"/>
        <b val="1"/>
        <color rgb="FF8A5A12"/>
        <sz val="11"/>
      </font>
      <fill>
        <patternFill>
          <bgColor rgb="FFFBE6C3"/>
        </patternFill>
      </fill>
    </dxf>
    <dxf>
      <fill>
        <patternFill patternType="solid">
          <fgColor rgb="FFFBF3E6"/>
          <bgColor rgb="FF000000"/>
        </patternFill>
      </fill>
    </dxf>
    <dxf>
      <font>
        <name val="Arial"/>
        <charset val="1"/>
        <family val="0"/>
        <b val="1"/>
        <color rgb="FF215732"/>
        <sz val="11"/>
      </font>
      <fill>
        <patternFill>
          <bgColor rgb="FFDCEEDB"/>
        </patternFill>
      </fill>
    </dxf>
    <dxf>
      <font>
        <name val="Arial"/>
        <charset val="1"/>
        <family val="0"/>
        <color rgb="FF1F2A24"/>
        <sz val="11"/>
      </font>
      <fill>
        <patternFill>
          <bgColor rgb="FFE9DFC9"/>
        </patternFill>
      </fill>
    </dxf>
  </dxfs>
  <colors>
    <indexedColors>
      <rgbColor rgb="FF000000"/>
      <rgbColor rgb="FFFFFFFF"/>
      <rgbColor rgb="FFFF0000"/>
      <rgbColor rgb="FF00FF00"/>
      <rgbColor rgb="FF0000FF"/>
      <rgbColor rgb="FFFBF3E6"/>
      <rgbColor rgb="FFFF00FF"/>
      <rgbColor rgb="FF00FFFF"/>
      <rgbColor rgb="FF800000"/>
      <rgbColor rgb="FF008000"/>
      <rgbColor rgb="FF000080"/>
      <rgbColor rgb="FF8A5A12"/>
      <rgbColor rgb="FF800080"/>
      <rgbColor rgb="FF008080"/>
      <rgbColor rgb="FFD8D1C2"/>
      <rgbColor rgb="FF878787"/>
      <rgbColor rgb="FF8A8272"/>
      <rgbColor rgb="FF5B5952"/>
      <rgbColor rgb="FFFFF7DE"/>
      <rgbColor rgb="FFEFF3F6"/>
      <rgbColor rgb="FF3D372E"/>
      <rgbColor rgb="FFC97B63"/>
      <rgbColor rgb="FF0066CC"/>
      <rgbColor rgb="FFD9D9D9"/>
      <rgbColor rgb="FF000080"/>
      <rgbColor rgb="FFFF00FF"/>
      <rgbColor rgb="FFFBF9F5"/>
      <rgbColor rgb="FF00FFFF"/>
      <rgbColor rgb="FF800080"/>
      <rgbColor rgb="FF800000"/>
      <rgbColor rgb="FF008080"/>
      <rgbColor rgb="FF0000FF"/>
      <rgbColor rgb="FF00CCFF"/>
      <rgbColor rgb="FFF2F4F1"/>
      <rgbColor rgb="FFDCEEDB"/>
      <rgbColor rgb="FFFBE6C3"/>
      <rgbColor rgb="FFE4E2DC"/>
      <rgbColor rgb="FFE9DFC9"/>
      <rgbColor rgb="FFEFE9DD"/>
      <rgbColor rgb="FFF8D3D0"/>
      <rgbColor rgb="FF3366FF"/>
      <rgbColor rgb="FF33CCCC"/>
      <rgbColor rgb="FF99CC00"/>
      <rgbColor rgb="FFFFCC00"/>
      <rgbColor rgb="FFB08D57"/>
      <rgbColor rgb="FFB9770E"/>
      <rgbColor rgb="FF6B6458"/>
      <rgbColor rgb="FF8FAE8B"/>
      <rgbColor rgb="FF215732"/>
      <rgbColor rgb="FF6B7F73"/>
      <rgbColor rgb="FF1F2A24"/>
      <rgbColor rgb="FF2E2A25"/>
      <rgbColor rgb="FF8A2E22"/>
      <rgbColor rgb="FF993366"/>
      <rgbColor rgb="FF44504A"/>
      <rgbColor rgb="FF333B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vs Expenses vs Profit</a:t>
            </a:r>
          </a:p>
        </c:rich>
      </c:tx>
      <c:overlay val="0"/>
      <c:spPr>
        <a:noFill/>
        <a:ln w="0">
          <a:noFill/>
        </a:ln>
      </c:spPr>
    </c:title>
    <c:autoTitleDeleted val="0"/>
    <c:plotArea>
      <c:barChart>
        <c:barDir val="col"/>
        <c:grouping val="clustered"/>
        <c:varyColors val="0"/>
        <c:ser>
          <c:idx val="0"/>
          <c:order val="0"/>
          <c:tx>
            <c:strRef>
              <c:f>Dashboard!B47</c:f>
              <c:strCache>
                <c:ptCount val="1"/>
                <c:pt idx="0">
                  <c:v>Revenue Received</c:v>
                </c:pt>
              </c:strCache>
            </c:strRef>
          </c:tx>
          <c:spPr>
            <a:solidFill>
              <a:srgbClr val="3d372e"/>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Dashboard!$A$48:$A$55</c:f>
              <c:strCache>
                <c:ptCount val="8"/>
                <c:pt idx="0">
                  <c:v>Jan 26</c:v>
                </c:pt>
                <c:pt idx="1">
                  <c:v>Feb 26</c:v>
                </c:pt>
                <c:pt idx="2">
                  <c:v>Mar 26</c:v>
                </c:pt>
                <c:pt idx="3">
                  <c:v>Apr 26</c:v>
                </c:pt>
                <c:pt idx="4">
                  <c:v>May 26</c:v>
                </c:pt>
                <c:pt idx="5">
                  <c:v>Jun 26</c:v>
                </c:pt>
                <c:pt idx="6">
                  <c:v>Jul 26</c:v>
                </c:pt>
                <c:pt idx="7">
                  <c:v>Aug 26</c:v>
                </c:pt>
              </c:strCache>
            </c:strRef>
          </c:cat>
          <c:val>
            <c:numRef>
              <c:f>Dashboard!$B$48:$B$55</c:f>
              <c:numCache>
                <c:formatCode>\$#,##0</c:formatCode>
                <c:ptCount val="8"/>
                <c:pt idx="0">
                  <c:v>0</c:v>
                </c:pt>
                <c:pt idx="1">
                  <c:v>0</c:v>
                </c:pt>
                <c:pt idx="2">
                  <c:v>0</c:v>
                </c:pt>
                <c:pt idx="3">
                  <c:v>0</c:v>
                </c:pt>
                <c:pt idx="4">
                  <c:v>0</c:v>
                </c:pt>
                <c:pt idx="5">
                  <c:v>0</c:v>
                </c:pt>
                <c:pt idx="6">
                  <c:v>0</c:v>
                </c:pt>
                <c:pt idx="7">
                  <c:v>0</c:v>
                </c:pt>
              </c:numCache>
            </c:numRef>
          </c:val>
        </c:ser>
        <c:ser>
          <c:idx val="1"/>
          <c:order val="1"/>
          <c:tx>
            <c:strRef>
              <c:f>Dashboard!C47</c:f>
              <c:strCache>
                <c:ptCount val="1"/>
                <c:pt idx="0">
                  <c:v>Expenses</c:v>
                </c:pt>
              </c:strCache>
            </c:strRef>
          </c:tx>
          <c:spPr>
            <a:solidFill>
              <a:srgbClr val="c97b63"/>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Dashboard!$A$48:$A$55</c:f>
              <c:strCache>
                <c:ptCount val="8"/>
                <c:pt idx="0">
                  <c:v>Jan 26</c:v>
                </c:pt>
                <c:pt idx="1">
                  <c:v>Feb 26</c:v>
                </c:pt>
                <c:pt idx="2">
                  <c:v>Mar 26</c:v>
                </c:pt>
                <c:pt idx="3">
                  <c:v>Apr 26</c:v>
                </c:pt>
                <c:pt idx="4">
                  <c:v>May 26</c:v>
                </c:pt>
                <c:pt idx="5">
                  <c:v>Jun 26</c:v>
                </c:pt>
                <c:pt idx="6">
                  <c:v>Jul 26</c:v>
                </c:pt>
                <c:pt idx="7">
                  <c:v>Aug 26</c:v>
                </c:pt>
              </c:strCache>
            </c:strRef>
          </c:cat>
          <c:val>
            <c:numRef>
              <c:f>Dashboard!$C$48:$C$55</c:f>
              <c:numCache>
                <c:formatCode>\$#,##0</c:formatCode>
                <c:ptCount val="8"/>
                <c:pt idx="0">
                  <c:v>0</c:v>
                </c:pt>
                <c:pt idx="1">
                  <c:v>0</c:v>
                </c:pt>
                <c:pt idx="2">
                  <c:v>0</c:v>
                </c:pt>
                <c:pt idx="3">
                  <c:v>0</c:v>
                </c:pt>
                <c:pt idx="4">
                  <c:v>0</c:v>
                </c:pt>
                <c:pt idx="5">
                  <c:v>0</c:v>
                </c:pt>
                <c:pt idx="6">
                  <c:v>0</c:v>
                </c:pt>
                <c:pt idx="7">
                  <c:v>0</c:v>
                </c:pt>
              </c:numCache>
            </c:numRef>
          </c:val>
        </c:ser>
        <c:ser>
          <c:idx val="2"/>
          <c:order val="2"/>
          <c:tx>
            <c:strRef>
              <c:f>Dashboard!D47</c:f>
              <c:strCache>
                <c:ptCount val="1"/>
                <c:pt idx="0">
                  <c:v>Profit</c:v>
                </c:pt>
              </c:strCache>
            </c:strRef>
          </c:tx>
          <c:spPr>
            <a:solidFill>
              <a:srgbClr val="8fae8b"/>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Dashboard!$A$48:$A$55</c:f>
              <c:strCache>
                <c:ptCount val="8"/>
                <c:pt idx="0">
                  <c:v>Jan 26</c:v>
                </c:pt>
                <c:pt idx="1">
                  <c:v>Feb 26</c:v>
                </c:pt>
                <c:pt idx="2">
                  <c:v>Mar 26</c:v>
                </c:pt>
                <c:pt idx="3">
                  <c:v>Apr 26</c:v>
                </c:pt>
                <c:pt idx="4">
                  <c:v>May 26</c:v>
                </c:pt>
                <c:pt idx="5">
                  <c:v>Jun 26</c:v>
                </c:pt>
                <c:pt idx="6">
                  <c:v>Jul 26</c:v>
                </c:pt>
                <c:pt idx="7">
                  <c:v>Aug 26</c:v>
                </c:pt>
              </c:strCache>
            </c:strRef>
          </c:cat>
          <c:val>
            <c:numRef>
              <c:f>Dashboard!$D$48:$D$55</c:f>
              <c:numCache>
                <c:formatCode>\$#,##0</c:formatCode>
                <c:ptCount val="8"/>
                <c:pt idx="0">
                  <c:v>0</c:v>
                </c:pt>
                <c:pt idx="1">
                  <c:v>0</c:v>
                </c:pt>
                <c:pt idx="2">
                  <c:v>0</c:v>
                </c:pt>
                <c:pt idx="3">
                  <c:v>0</c:v>
                </c:pt>
                <c:pt idx="4">
                  <c:v>0</c:v>
                </c:pt>
                <c:pt idx="5">
                  <c:v>0</c:v>
                </c:pt>
                <c:pt idx="6">
                  <c:v>0</c:v>
                </c:pt>
                <c:pt idx="7">
                  <c:v>0</c:v>
                </c:pt>
              </c:numCache>
            </c:numRef>
          </c:val>
        </c:ser>
        <c:gapWidth val="150"/>
        <c:overlap val="0"/>
        <c:axId val="55257004"/>
        <c:axId val="65711422"/>
      </c:barChart>
      <c:catAx>
        <c:axId val="5525700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711422"/>
        <c:crosses val="autoZero"/>
        <c:auto val="1"/>
        <c:lblAlgn val="ctr"/>
        <c:lblOffset val="100"/>
        <c:noMultiLvlLbl val="0"/>
      </c:catAx>
      <c:valAx>
        <c:axId val="6571142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2570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Projects by Development Stage</a:t>
            </a:r>
          </a:p>
        </c:rich>
      </c:tx>
      <c:overlay val="0"/>
      <c:spPr>
        <a:noFill/>
        <a:ln w="0">
          <a:noFill/>
        </a:ln>
      </c:spPr>
    </c:title>
    <c:autoTitleDeleted val="0"/>
    <c:plotArea>
      <c:barChart>
        <c:barDir val="bar"/>
        <c:grouping val="clustered"/>
        <c:varyColors val="0"/>
        <c:ser>
          <c:idx val="0"/>
          <c:order val="0"/>
          <c:tx>
            <c:strRef>
              <c:f>Dashboard!G47</c:f>
              <c:strCache>
                <c:ptCount val="1"/>
                <c:pt idx="0">
                  <c:v>Projects</c:v>
                </c:pt>
              </c:strCache>
            </c:strRef>
          </c:tx>
          <c:spPr>
            <a:solidFill>
              <a:srgbClr val="b08d57"/>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Dashboard!$F$48:$F$61</c:f>
              <c:strCache>
                <c:ptCount val="14"/>
                <c:pt idx="0">
                  <c:v>Brief</c:v>
                </c:pt>
                <c:pt idx="1">
                  <c:v>Research</c:v>
                </c:pt>
                <c:pt idx="2">
                  <c:v>Concept Development</c:v>
                </c:pt>
                <c:pt idx="3">
                  <c:v>Formula Development</c:v>
                </c:pt>
                <c:pt idx="4">
                  <c:v>Compounding</c:v>
                </c:pt>
                <c:pt idx="5">
                  <c:v>Evaluation</c:v>
                </c:pt>
                <c:pt idx="6">
                  <c:v>Sample Sent</c:v>
                </c:pt>
                <c:pt idx="7">
                  <c:v>Awaiting Feedback</c:v>
                </c:pt>
                <c:pt idx="8">
                  <c:v>Reformulation</c:v>
                </c:pt>
                <c:pt idx="9">
                  <c:v>Approved</c:v>
                </c:pt>
                <c:pt idx="10">
                  <c:v>Documentation</c:v>
                </c:pt>
                <c:pt idx="11">
                  <c:v>Production</c:v>
                </c:pt>
                <c:pt idx="12">
                  <c:v>Complete</c:v>
                </c:pt>
                <c:pt idx="13">
                  <c:v>On Hold</c:v>
                </c:pt>
              </c:strCache>
            </c:strRef>
          </c:cat>
          <c:val>
            <c:numRef>
              <c:f>Dashboard!$G$48:$G$61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er>
        <c:gapWidth val="150"/>
        <c:overlap val="0"/>
        <c:axId val="25138440"/>
        <c:axId val="63666080"/>
      </c:barChart>
      <c:catAx>
        <c:axId val="2513844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666080"/>
        <c:crosses val="autoZero"/>
        <c:auto val="1"/>
        <c:lblAlgn val="ctr"/>
        <c:lblOffset val="100"/>
        <c:noMultiLvlLbl val="0"/>
      </c:catAx>
      <c:valAx>
        <c:axId val="63666080"/>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1384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Client Workload — Active Projects per Client</a:t>
            </a:r>
          </a:p>
        </c:rich>
      </c:tx>
      <c:overlay val="0"/>
      <c:spPr>
        <a:noFill/>
        <a:ln w="0">
          <a:noFill/>
        </a:ln>
      </c:spPr>
    </c:title>
    <c:autoTitleDeleted val="0"/>
    <c:plotArea>
      <c:barChart>
        <c:barDir val="bar"/>
        <c:grouping val="clustered"/>
        <c:varyColors val="0"/>
        <c:ser>
          <c:idx val="0"/>
          <c:order val="0"/>
          <c:tx>
            <c:strRef>
              <c:f>Dashboard!J47</c:f>
              <c:strCache>
                <c:ptCount val="1"/>
                <c:pt idx="0">
                  <c:v>Active Projects</c:v>
                </c:pt>
              </c:strCache>
            </c:strRef>
          </c:tx>
          <c:spPr>
            <a:solidFill>
              <a:srgbClr val="6b7f73"/>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Dashboard!$I$48:$I$57</c:f>
              <c:strCache>
                <c:ptCount val="10"/>
                <c:pt idx="0">
                  <c:v>0</c:v>
                </c:pt>
                <c:pt idx="1">
                  <c:v>0</c:v>
                </c:pt>
                <c:pt idx="2">
                  <c:v>0</c:v>
                </c:pt>
                <c:pt idx="3">
                  <c:v>0</c:v>
                </c:pt>
                <c:pt idx="4">
                  <c:v>0</c:v>
                </c:pt>
                <c:pt idx="5">
                  <c:v>0</c:v>
                </c:pt>
                <c:pt idx="6">
                  <c:v>0</c:v>
                </c:pt>
                <c:pt idx="7">
                  <c:v>0</c:v>
                </c:pt>
                <c:pt idx="8">
                  <c:v>0</c:v>
                </c:pt>
                <c:pt idx="9">
                  <c:v>0</c:v>
                </c:pt>
              </c:strCache>
            </c:strRef>
          </c:cat>
          <c:val>
            <c:numRef>
              <c:f>Dashboard!$J$48:$J$57</c:f>
              <c:numCache>
                <c:formatCode>General</c:formatCode>
                <c:ptCount val="10"/>
              </c:numCache>
            </c:numRef>
          </c:val>
        </c:ser>
        <c:gapWidth val="150"/>
        <c:overlap val="0"/>
        <c:axId val="95387440"/>
        <c:axId val="29095596"/>
      </c:barChart>
      <c:catAx>
        <c:axId val="9538744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95596"/>
        <c:crosses val="autoZero"/>
        <c:auto val="1"/>
        <c:lblAlgn val="ctr"/>
        <c:lblOffset val="100"/>
        <c:noMultiLvlLbl val="0"/>
      </c:catAx>
      <c:valAx>
        <c:axId val="29095596"/>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3874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63</xdr:row>
      <xdr:rowOff>0</xdr:rowOff>
    </xdr:from>
    <xdr:to>
      <xdr:col>5</xdr:col>
      <xdr:colOff>905040</xdr:colOff>
      <xdr:row>80</xdr:row>
      <xdr:rowOff>720</xdr:rowOff>
    </xdr:to>
    <xdr:graphicFrame>
      <xdr:nvGraphicFramePr>
        <xdr:cNvPr id="0" name="Chart 1"/>
        <xdr:cNvGraphicFramePr/>
      </xdr:nvGraphicFramePr>
      <xdr:xfrm>
        <a:off x="0" y="12649320"/>
        <a:ext cx="863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83</xdr:row>
      <xdr:rowOff>0</xdr:rowOff>
    </xdr:from>
    <xdr:to>
      <xdr:col>5</xdr:col>
      <xdr:colOff>905040</xdr:colOff>
      <xdr:row>100</xdr:row>
      <xdr:rowOff>720</xdr:rowOff>
    </xdr:to>
    <xdr:graphicFrame>
      <xdr:nvGraphicFramePr>
        <xdr:cNvPr id="1" name="Chart 2"/>
        <xdr:cNvGraphicFramePr/>
      </xdr:nvGraphicFramePr>
      <xdr:xfrm>
        <a:off x="0" y="16459200"/>
        <a:ext cx="863928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101</xdr:row>
      <xdr:rowOff>0</xdr:rowOff>
    </xdr:from>
    <xdr:to>
      <xdr:col>5</xdr:col>
      <xdr:colOff>905040</xdr:colOff>
      <xdr:row>118</xdr:row>
      <xdr:rowOff>720</xdr:rowOff>
    </xdr:to>
    <xdr:graphicFrame>
      <xdr:nvGraphicFramePr>
        <xdr:cNvPr id="2" name="Chart 3"/>
        <xdr:cNvGraphicFramePr/>
      </xdr:nvGraphicFramePr>
      <xdr:xfrm>
        <a:off x="0" y="19888200"/>
        <a:ext cx="863928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BriefTable" displayName="BriefTable" ref="A4:AR64" headerRowCount="1" totalsRowCount="0" totalsRowShown="0">
  <autoFilter ref="A4:AR64"/>
  <tableColumns count="44">
    <tableColumn id="1" name="Project ID"/>
    <tableColumn id="2" name="Client"/>
    <tableColumn id="3" name="Fragrance"/>
    <tableColumn id="4" name="Target Customer"/>
    <tableColumn id="5" name="Gender Positioning"/>
    <tableColumn id="6" name="Target Age"/>
    <tableColumn id="7" name="Intended Market"/>
    <tableColumn id="8" name="Desired Retail Price"/>
    <tableColumn id="9" name="Desired Concentration"/>
    <tableColumn id="10" name="Bottle Size"/>
    <tableColumn id="11" name="Product Type"/>
    <tableColumn id="12" name="Client Description"/>
    <tableColumn id="13" name="Overall Feeling"/>
    <tableColumn id="14" name="Desired Opening"/>
    <tableColumn id="15" name="Desired Heart"/>
    <tableColumn id="16" name="Desired Drydown"/>
    <tableColumn id="17" name="Top Notes Requested"/>
    <tableColumn id="18" name="Heart Notes Requested"/>
    <tableColumn id="19" name="Base Notes Requested"/>
    <tableColumn id="20" name="Preferred Fragrance Families"/>
    <tableColumn id="21" name="Reference Perfumes"/>
    <tableColumn id="22" name="Materials/Notes They Like"/>
    <tableColumn id="23" name="Materials/Notes They Dislike"/>
    <tableColumn id="24" name="Must Include"/>
    <tableColumn id="25" name="Must Avoid"/>
    <tableColumn id="26" name="Desired Strength"/>
    <tableColumn id="27" name="Desired Projection"/>
    <tableColumn id="28" name="Desired Longevity"/>
    <tableColumn id="29" name="Season"/>
    <tableColumn id="30" name="Occasion"/>
    <tableColumn id="31" name="Day/Night"/>
    <tableColumn id="32" name="Commercial vs Artistic"/>
    <tableColumn id="33" name="What I Think The Client Actually Wants"/>
    <tableColumn id="34" name="Proposed DNA"/>
    <tableColumn id="35" name="Recommended Top Direction"/>
    <tableColumn id="36" name="Recommended Heart Direction"/>
    <tableColumn id="37" name="Recommended Base Direction"/>
    <tableColumn id="38" name="Suggested Materials"/>
    <tableColumn id="39" name="Suggested Accords"/>
    <tableColumn id="40" name="Potential Reference Structures"/>
    <tableColumn id="41" name="Creative Twist"/>
    <tableColumn id="42" name="Potential Problems With Brief"/>
    <tableColumn id="43" name="Questions To Ask Client"/>
    <tableColumn id="44" name="Development Strategy"/>
  </tableColumns>
</table>
</file>

<file path=xl/tables/table2.xml><?xml version="1.0" encoding="utf-8"?>
<table xmlns="http://schemas.openxmlformats.org/spreadsheetml/2006/main" id="2" name="ClientsTable" displayName="ClientsTable" ref="A4:W44" headerRowCount="1" totalsRowCount="0" totalsRowShown="0">
  <autoFilter ref="A4:W44"/>
  <tableColumns count="23">
    <tableColumn id="1" name="Client ID"/>
    <tableColumn id="2" name="Client / Brand Name"/>
    <tableColumn id="3" name="Contact Name"/>
    <tableColumn id="4" name="Email"/>
    <tableColumn id="5" name="Phone"/>
    <tableColumn id="6" name="Country"/>
    <tableColumn id="7" name="Date Enquired"/>
    <tableColumn id="8" name="Date Signed"/>
    <tableColumn id="9" name="Lead Source"/>
    <tableColumn id="10" name="Project Type"/>
    <tableColumn id="11" name="No. of Fragrances"/>
    <tableColumn id="12" name="Package Purchased"/>
    <tableColumn id="13" name="Agreed Price"/>
    <tableColumn id="14" name="Deposit Required"/>
    <tableColumn id="15" name="Deposit Paid"/>
    <tableColumn id="16" name="Remaining Balance"/>
    <tableColumn id="17" name="Payment Status"/>
    <tableColumn id="18" name="Contract Signed?"/>
    <tableColumn id="19" name="NDA?"/>
    <tableColumn id="20" name="Formula Ownership"/>
    <tableColumn id="21" name="Client Priority"/>
    <tableColumn id="22" name="Relationship Status"/>
    <tableColumn id="23" name="Notes"/>
  </tableColumns>
</table>
</file>

<file path=xl/tables/table3.xml><?xml version="1.0" encoding="utf-8"?>
<table xmlns="http://schemas.openxmlformats.org/spreadsheetml/2006/main" id="3" name="CloseoutTable" displayName="CloseoutTable" ref="A4:X44" headerRowCount="1" totalsRowCount="0" totalsRowShown="0">
  <autoFilter ref="A4:X44"/>
  <tableColumns count="24">
    <tableColumn id="1" name="Project ID"/>
    <tableColumn id="2" name="Client"/>
    <tableColumn id="3" name="Project / Fragrance"/>
    <tableColumn id="4" name="Final Formula Version"/>
    <tableColumn id="5" name="Approval Date"/>
    <tableColumn id="6" name="Formula Delivered?"/>
    <tableColumn id="7" name="SDS Delivered?"/>
    <tableColumn id="8" name="IFRA Delivered?"/>
    <tableColumn id="9" name="Allergen Info Delivered?"/>
    <tableColumn id="10" name="Other Documentation Delivered?"/>
    <tableColumn id="11" name="Final Invoice Paid?"/>
    <tableColumn id="12" name="Formula Ownership Confirmed?"/>
    <tableColumn id="13" name="Manufacturing Handover Complete?"/>
    <tableColumn id="14" name="Final Revenue"/>
    <tableColumn id="15" name="Final Expenses"/>
    <tableColumn id="16" name="Final Profit"/>
    <tableColumn id="17" name="Final Margin"/>
    <tableColumn id="18" name="Total Hours"/>
    <tableColumn id="19" name="No. of Iterations"/>
    <tableColumn id="20" name="Client Satisfaction /10"/>
    <tableColumn id="21" name="Would I Work With This Client Again?"/>
    <tableColumn id="22" name="Lessons Learned"/>
    <tableColumn id="23" name="What Went Well"/>
    <tableColumn id="24" name="What I Would Change Next Time"/>
  </tableColumns>
</table>
</file>

<file path=xl/tables/table4.xml><?xml version="1.0" encoding="utf-8"?>
<table xmlns="http://schemas.openxmlformats.org/spreadsheetml/2006/main" id="4" name="ExpenseTable" displayName="ExpenseTable" ref="A4:N154" headerRowCount="1" totalsRowCount="0" totalsRowShown="0">
  <autoFilter ref="A4:N154"/>
  <tableColumns count="14">
    <tableColumn id="1" name="Date"/>
    <tableColumn id="2" name="Project ID"/>
    <tableColumn id="3" name="Client"/>
    <tableColumn id="4" name="Fragrance"/>
    <tableColumn id="5" name="Expense Category"/>
    <tableColumn id="6" name="Supplier"/>
    <tableColumn id="7" name="Description"/>
    <tableColumn id="8" name="Quantity"/>
    <tableColumn id="9" name="Unit Cost"/>
    <tableColumn id="10" name="Total Cost"/>
    <tableColumn id="11" name="Paid?"/>
    <tableColumn id="12" name="Receipt/Invoice Available?"/>
    <tableColumn id="13" name="Business Expense Type"/>
    <tableColumn id="14" name="Notes"/>
  </tableColumns>
</table>
</file>

<file path=xl/tables/table5.xml><?xml version="1.0" encoding="utf-8"?>
<table xmlns="http://schemas.openxmlformats.org/spreadsheetml/2006/main" id="5" name="FinancialsTable" displayName="FinancialsTable" ref="A4:AD64" headerRowCount="1" totalsRowCount="0" totalsRowShown="0">
  <autoFilter ref="A4:AD64"/>
  <tableColumns count="30">
    <tableColumn id="1" name="Project ID"/>
    <tableColumn id="2" name="Client"/>
    <tableColumn id="3" name="Fragrance"/>
    <tableColumn id="4" name="Agreed Revenue"/>
    <tableColumn id="5" name="Deposit Received"/>
    <tableColumn id="6" name="Remaining Revenue"/>
    <tableColumn id="7" name="Materials"/>
    <tableColumn id="8" name="Alcohol/Carrier"/>
    <tableColumn id="9" name="Sample Bottles"/>
    <tableColumn id="10" name="Packaging"/>
    <tableColumn id="11" name="Labels"/>
    <tableColumn id="12" name="Shipping"/>
    <tableColumn id="13" name="Documentation"/>
    <tableColumn id="14" name="SDS Costs"/>
    <tableColumn id="15" name="IFRA/Allergen Costs"/>
    <tableColumn id="16" name="CPSR/Safety Assessment"/>
    <tableColumn id="17" name="External Compounding"/>
    <tableColumn id="18" name="Outsourcing"/>
    <tableColumn id="19" name="Payment Processing Fees"/>
    <tableColumn id="20" name="Other Expenses"/>
    <tableColumn id="21" name="Total Direct Expenses"/>
    <tableColumn id="22" name="Hours Worked"/>
    <tableColumn id="23" name="Hourly Value of My Time"/>
    <tableColumn id="24" name="Labour Cost"/>
    <tableColumn id="25" name="True Project Cost"/>
    <tableColumn id="26" name="Gross Profit Before Labour"/>
    <tableColumn id="27" name="Profit After Labour"/>
    <tableColumn id="28" name="Gross Margin %"/>
    <tableColumn id="29" name="True Margin %"/>
    <tableColumn id="30" name="Effective Hourly Earnings"/>
  </tableColumns>
</table>
</file>

<file path=xl/tables/table6.xml><?xml version="1.0" encoding="utf-8"?>
<table xmlns="http://schemas.openxmlformats.org/spreadsheetml/2006/main" id="6" name="IterationTable" displayName="IterationTable" ref="A4:X124" headerRowCount="1" totalsRowCount="0" totalsRowShown="0">
  <autoFilter ref="A4:X124"/>
  <tableColumns count="24">
    <tableColumn id="1" name="Project ID"/>
    <tableColumn id="2" name="Client"/>
    <tableColumn id="3" name="Fragrance"/>
    <tableColumn id="4" name="Iteration No."/>
    <tableColumn id="5" name="Formula Version"/>
    <tableColumn id="6" name="Date Created"/>
    <tableColumn id="7" name="Date Compounded"/>
    <tableColumn id="8" name="Date Evaluated"/>
    <tableColumn id="9" name="Sample Sent Date"/>
    <tableColumn id="10" name="Sample Received Date"/>
    <tableColumn id="11" name="Feedback Received Date"/>
    <tableColumn id="12" name="Client Rating /10"/>
    <tableColumn id="13" name="My Rating /10"/>
    <tableColumn id="14" name="Client Feedback"/>
    <tableColumn id="15" name="My Evaluation"/>
    <tableColumn id="16" name="Changes Required"/>
    <tableColumn id="17" name="Changes Made"/>
    <tableColumn id="18" name="Next Version Required?"/>
    <tableColumn id="19" name="Approved?"/>
    <tableColumn id="20" name="Time Spent (hrs)"/>
    <tableColumn id="21" name="Material Cost"/>
    <tableColumn id="22" name="Shipping Cost"/>
    <tableColumn id="23" name="Other Cost"/>
    <tableColumn id="24" name="Total Iteration Cost"/>
  </tableColumns>
</table>
</file>

<file path=xl/tables/table7.xml><?xml version="1.0" encoding="utf-8"?>
<table xmlns="http://schemas.openxmlformats.org/spreadsheetml/2006/main" id="7" name="PaymentsTable" displayName="PaymentsTable" ref="A4:P64" headerRowCount="1" totalsRowCount="0" totalsRowShown="0">
  <autoFilter ref="A4:P64"/>
  <tableColumns count="16">
    <tableColumn id="1" name="Client"/>
    <tableColumn id="2" name="Project ID"/>
    <tableColumn id="3" name="Invoice Number"/>
    <tableColumn id="4" name="Invoice Date"/>
    <tableColumn id="5" name="Total Amount"/>
    <tableColumn id="6" name="Deposit Required"/>
    <tableColumn id="7" name="Deposit Received"/>
    <tableColumn id="8" name="Deposit Date"/>
    <tableColumn id="9" name="Remaining Balance"/>
    <tableColumn id="10" name="Balance Due Date"/>
    <tableColumn id="11" name="Balance Received"/>
    <tableColumn id="12" name="Payment Method"/>
    <tableColumn id="13" name="Payment Fees"/>
    <tableColumn id="14" name="Payment Status"/>
    <tableColumn id="15" name="Days Overdue"/>
    <tableColumn id="16" name="Notes"/>
  </tableColumns>
</table>
</file>

<file path=xl/tables/table8.xml><?xml version="1.0" encoding="utf-8"?>
<table xmlns="http://schemas.openxmlformats.org/spreadsheetml/2006/main" id="8" name="ProjectsTable" displayName="ProjectsTable" ref="A4:AK64" headerRowCount="1" totalsRowCount="0" totalsRowShown="0">
  <autoFilter ref="A4:AK64"/>
  <tableColumns count="37">
    <tableColumn id="1" name="Project ID"/>
    <tableColumn id="2" name="Client ID"/>
    <tableColumn id="3" name="Client Name"/>
    <tableColumn id="4" name="Fragrance Name / Working Name"/>
    <tableColumn id="5" name="Project Start Date"/>
    <tableColumn id="6" name="Target Completion Date"/>
    <tableColumn id="7" name="Days Remaining"/>
    <tableColumn id="8" name="Current Stage"/>
    <tableColumn id="9" name="Priority"/>
    <tableColumn id="10" name="Overall Status"/>
    <tableColumn id="11" name="Current Iteration"/>
    <tableColumn id="12" name="Included Iterations"/>
    <tableColumn id="13" name="Remaining Iterations"/>
    <tableColumn id="14" name="Last Action Date"/>
    <tableColumn id="15" name="Who Currently Needs to Act?"/>
    <tableColumn id="16" name="Next Action"/>
    <tableColumn id="17" name="Next Action Due"/>
    <tableColumn id="18" name="Days Since Last Activity"/>
    <tableColumn id="19" name="Formula Complete?"/>
    <tableColumn id="20" name="Formula Approved?"/>
    <tableColumn id="21" name="Documentation Complete?"/>
    <tableColumn id="22" name="Production/Compounding Required?"/>
    <tableColumn id="23" name="Final Delivery Complete?"/>
    <tableColumn id="24" name="Notes"/>
    <tableColumn id="25" name="Spacer"/>
    <tableColumn id="26" name="Overdue Flag"/>
    <tableColumn id="27" name="Due Soon Flag"/>
    <tableColumn id="28" name="Waiting On Us Flag"/>
    <tableColumn id="29" name="Client Feedback Overdue Flag"/>
    <tableColumn id="30" name="Iteration Limit Flag"/>
    <tableColumn id="31" name="Low Margin Flag"/>
    <tableColumn id="32" name="Unpaid Flag"/>
    <tableColumn id="33" name="Urgent Flag"/>
    <tableColumn id="34" name="Urgent Reason"/>
    <tableColumn id="35" name="Deadline Rank"/>
    <tableColumn id="36" name="Urgent Row Offset"/>
    <tableColumn id="37" name="Assigned To"/>
  </tableColumns>
</table>
</file>

<file path=xl/tables/table9.xml><?xml version="1.0" encoding="utf-8"?>
<table xmlns="http://schemas.openxmlformats.org/spreadsheetml/2006/main" id="9" name="RiskTable" displayName="RiskTable" ref="A4:V64" headerRowCount="1" totalsRowCount="0" totalsRowShown="0">
  <autoFilter ref="A4:V64"/>
  <tableColumns count="22">
    <tableColumn id="1" name="Project ID"/>
    <tableColumn id="2" name="Client"/>
    <tableColumn id="3" name="Fragrance"/>
    <tableColumn id="4" name="Scope Clearly Defined?"/>
    <tableColumn id="5" name="Brief Clear?"/>
    <tableColumn id="6" name="Contract Signed?"/>
    <tableColumn id="7" name="Deposit Paid?"/>
    <tableColumn id="8" name="No. of Revisions Agreed"/>
    <tableColumn id="9" name="Formula Ownership Agreed?"/>
    <tableColumn id="10" name="Deadline Realistic?"/>
    <tableColumn id="11" name="Client Responds Promptly?"/>
    <tableColumn id="12" name="Client Frequently Changes Brief?"/>
    <tableColumn id="13" name="Additional Work Requested?"/>
    <tableColumn id="14" name="Project Exceeding Expected Hours?"/>
    <tableColumn id="15" name="Expenses Exceeding Budget?"/>
    <tableColumn id="16" name="Margin Becoming Too Low?"/>
    <tableColumn id="17" name="Payment Overdue?"/>
    <tableColumn id="18" name="Scope Creep?"/>
    <tableColumn id="19" name="Compliance Requirements Understood?"/>
    <tableColumn id="20" name="Manufacturing Responsibility Clear?"/>
    <tableColumn id="21" name="Risk Level"/>
    <tableColumn id="22" name="Attention Required"/>
  </tableColumns>
</table>
</file>

<file path=xl/tables/table10.xml><?xml version="1.0" encoding="utf-8"?>
<table xmlns="http://schemas.openxmlformats.org/spreadsheetml/2006/main" id="10" name="WorkloadTable" displayName="WorkloadTable" ref="A4:M64" headerRowCount="1" totalsRowCount="0" totalsRowShown="0">
  <autoFilter ref="A4:M64"/>
  <tableColumns count="13">
    <tableColumn id="1" name="Project ID"/>
    <tableColumn id="2" name="Client"/>
    <tableColumn id="3" name="Project / Fragrance"/>
    <tableColumn id="4" name="Priority"/>
    <tableColumn id="5" name="Current Stage"/>
    <tableColumn id="6" name="Deadline"/>
    <tableColumn id="7" name="Days Remaining"/>
    <tableColumn id="8" name="Next Action"/>
    <tableColumn id="9" name="Est. Hours Remaining"/>
    <tableColumn id="10" name="Iterations Remaining"/>
    <tableColumn id="11" name="Waiting On"/>
    <tableColumn id="12" name="Urgency Score"/>
    <tableColumn id="13" name="Assigned T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8.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10.xml"/>
</Relationships>
</file>

<file path=xl/worksheets/_rels/sheet11.xml.rels><?xml version="1.0" encoding="UTF-8"?>
<Relationships xmlns="http://schemas.openxmlformats.org/package/2006/relationships"><Relationship Id="rId1" Type="http://schemas.openxmlformats.org/officeDocument/2006/relationships/table" Target="../tables/table9.x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5" hidden="false" customHeight="false" outlineLevel="0" collapsed="false">
      <c r="A2" s="2" t="s">
        <v>24</v>
      </c>
      <c r="B2" s="2" t="s">
        <v>25</v>
      </c>
      <c r="C2" s="2" t="s">
        <v>26</v>
      </c>
      <c r="D2" s="2" t="s">
        <v>27</v>
      </c>
      <c r="E2" s="2" t="s">
        <v>28</v>
      </c>
      <c r="F2" s="2" t="s">
        <v>29</v>
      </c>
      <c r="G2" s="2" t="s">
        <v>29</v>
      </c>
      <c r="H2" s="2" t="s">
        <v>30</v>
      </c>
      <c r="I2" s="2" t="s">
        <v>24</v>
      </c>
      <c r="J2" s="2" t="s">
        <v>31</v>
      </c>
      <c r="K2" s="2" t="str">
        <f aca="false">Instructions!$C$8</f>
        <v>Person A</v>
      </c>
      <c r="L2" s="2" t="s">
        <v>32</v>
      </c>
      <c r="M2" s="2" t="s">
        <v>33</v>
      </c>
      <c r="N2" s="2" t="s">
        <v>34</v>
      </c>
      <c r="O2" s="2" t="s">
        <v>35</v>
      </c>
      <c r="P2" s="2" t="s">
        <v>36</v>
      </c>
      <c r="Q2" s="2" t="s">
        <v>37</v>
      </c>
      <c r="R2" s="2" t="s">
        <v>38</v>
      </c>
      <c r="S2" s="2" t="s">
        <v>39</v>
      </c>
      <c r="T2" s="2" t="s">
        <v>40</v>
      </c>
      <c r="U2" s="2" t="s">
        <v>41</v>
      </c>
      <c r="V2" s="2" t="s">
        <v>42</v>
      </c>
      <c r="W2" s="2" t="s">
        <v>31</v>
      </c>
      <c r="X2" s="2" t="s">
        <v>29</v>
      </c>
    </row>
    <row r="3" customFormat="false" ht="15" hidden="false" customHeight="false" outlineLevel="0" collapsed="false">
      <c r="A3" s="2" t="s">
        <v>43</v>
      </c>
      <c r="B3" s="2" t="s">
        <v>44</v>
      </c>
      <c r="C3" s="2" t="s">
        <v>45</v>
      </c>
      <c r="D3" s="2" t="s">
        <v>46</v>
      </c>
      <c r="E3" s="2" t="s">
        <v>47</v>
      </c>
      <c r="F3" s="2" t="s">
        <v>48</v>
      </c>
      <c r="G3" s="2" t="s">
        <v>48</v>
      </c>
      <c r="H3" s="2" t="s">
        <v>49</v>
      </c>
      <c r="I3" s="2" t="s">
        <v>43</v>
      </c>
      <c r="J3" s="2" t="s">
        <v>50</v>
      </c>
      <c r="K3" s="2" t="str">
        <f aca="false">Instructions!$C$9</f>
        <v>Person B</v>
      </c>
      <c r="L3" s="2" t="s">
        <v>51</v>
      </c>
      <c r="M3" s="2" t="s">
        <v>52</v>
      </c>
      <c r="N3" s="2" t="s">
        <v>53</v>
      </c>
      <c r="O3" s="2" t="s">
        <v>54</v>
      </c>
      <c r="P3" s="2" t="s">
        <v>55</v>
      </c>
      <c r="Q3" s="2" t="s">
        <v>56</v>
      </c>
      <c r="R3" s="2" t="s">
        <v>57</v>
      </c>
      <c r="S3" s="2" t="s">
        <v>58</v>
      </c>
      <c r="T3" s="2" t="s">
        <v>59</v>
      </c>
      <c r="U3" s="2" t="s">
        <v>60</v>
      </c>
      <c r="V3" s="2" t="s">
        <v>61</v>
      </c>
      <c r="W3" s="2" t="s">
        <v>50</v>
      </c>
      <c r="X3" s="2" t="s">
        <v>48</v>
      </c>
    </row>
    <row r="4" customFormat="false" ht="15" hidden="false" customHeight="false" outlineLevel="0" collapsed="false">
      <c r="A4" s="2" t="s">
        <v>62</v>
      </c>
      <c r="B4" s="2" t="s">
        <v>63</v>
      </c>
      <c r="C4" s="2" t="s">
        <v>64</v>
      </c>
      <c r="D4" s="2" t="s">
        <v>65</v>
      </c>
      <c r="E4" s="2" t="s">
        <v>66</v>
      </c>
      <c r="G4" s="2" t="s">
        <v>67</v>
      </c>
      <c r="H4" s="2" t="s">
        <v>68</v>
      </c>
      <c r="I4" s="2" t="s">
        <v>62</v>
      </c>
      <c r="J4" s="2" t="s">
        <v>69</v>
      </c>
      <c r="K4" s="2" t="s">
        <v>70</v>
      </c>
      <c r="L4" s="2" t="s">
        <v>71</v>
      </c>
      <c r="M4" s="2" t="s">
        <v>72</v>
      </c>
      <c r="N4" s="2" t="s">
        <v>73</v>
      </c>
      <c r="O4" s="2" t="s">
        <v>74</v>
      </c>
      <c r="P4" s="2" t="s">
        <v>75</v>
      </c>
      <c r="Q4" s="2" t="s">
        <v>76</v>
      </c>
      <c r="R4" s="2" t="s">
        <v>70</v>
      </c>
      <c r="S4" s="2" t="s">
        <v>77</v>
      </c>
      <c r="T4" s="2" t="s">
        <v>78</v>
      </c>
      <c r="U4" s="2" t="s">
        <v>79</v>
      </c>
      <c r="V4" s="2" t="s">
        <v>80</v>
      </c>
      <c r="W4" s="2" t="s">
        <v>81</v>
      </c>
      <c r="X4" s="2" t="s">
        <v>82</v>
      </c>
    </row>
    <row r="5" customFormat="false" ht="15" hidden="false" customHeight="false" outlineLevel="0" collapsed="false">
      <c r="A5" s="2" t="s">
        <v>83</v>
      </c>
      <c r="B5" s="2" t="s">
        <v>84</v>
      </c>
      <c r="C5" s="2" t="s">
        <v>85</v>
      </c>
      <c r="D5" s="2" t="s">
        <v>86</v>
      </c>
      <c r="E5" s="2" t="s">
        <v>87</v>
      </c>
      <c r="H5" s="2" t="s">
        <v>88</v>
      </c>
      <c r="I5" s="2" t="s">
        <v>89</v>
      </c>
      <c r="J5" s="2" t="s">
        <v>90</v>
      </c>
      <c r="K5" s="2" t="s">
        <v>91</v>
      </c>
      <c r="L5" s="2" t="s">
        <v>92</v>
      </c>
      <c r="M5" s="2" t="s">
        <v>93</v>
      </c>
      <c r="N5" s="2" t="s">
        <v>94</v>
      </c>
      <c r="O5" s="2" t="s">
        <v>95</v>
      </c>
      <c r="P5" s="2" t="s">
        <v>96</v>
      </c>
      <c r="Q5" s="2" t="s">
        <v>97</v>
      </c>
      <c r="T5" s="2" t="s">
        <v>98</v>
      </c>
      <c r="V5" s="2" t="s">
        <v>99</v>
      </c>
      <c r="W5" s="2" t="s">
        <v>100</v>
      </c>
    </row>
    <row r="6" customFormat="false" ht="15" hidden="false" customHeight="false" outlineLevel="0" collapsed="false">
      <c r="B6" s="2" t="s">
        <v>101</v>
      </c>
      <c r="C6" s="2" t="s">
        <v>102</v>
      </c>
      <c r="D6" s="2" t="s">
        <v>103</v>
      </c>
      <c r="E6" s="2" t="s">
        <v>104</v>
      </c>
      <c r="H6" s="2" t="s">
        <v>105</v>
      </c>
      <c r="M6" s="2" t="s">
        <v>106</v>
      </c>
      <c r="N6" s="2" t="s">
        <v>107</v>
      </c>
      <c r="O6" s="2" t="s">
        <v>108</v>
      </c>
      <c r="P6" s="2" t="s">
        <v>109</v>
      </c>
      <c r="Q6" s="2" t="s">
        <v>110</v>
      </c>
      <c r="T6" s="2" t="s">
        <v>111</v>
      </c>
      <c r="V6" s="2" t="s">
        <v>112</v>
      </c>
    </row>
    <row r="7" customFormat="false" ht="15" hidden="false" customHeight="false" outlineLevel="0" collapsed="false">
      <c r="B7" s="2" t="s">
        <v>113</v>
      </c>
      <c r="C7" s="2" t="s">
        <v>114</v>
      </c>
      <c r="D7" s="2" t="s">
        <v>115</v>
      </c>
      <c r="H7" s="2" t="s">
        <v>116</v>
      </c>
      <c r="N7" s="2" t="s">
        <v>115</v>
      </c>
      <c r="O7" s="2" t="s">
        <v>117</v>
      </c>
      <c r="T7" s="2" t="s">
        <v>118</v>
      </c>
      <c r="V7" s="2" t="s">
        <v>115</v>
      </c>
    </row>
    <row r="8" customFormat="false" ht="15" hidden="false" customHeight="false" outlineLevel="0" collapsed="false">
      <c r="B8" s="2" t="s">
        <v>119</v>
      </c>
      <c r="C8" s="2" t="s">
        <v>115</v>
      </c>
      <c r="H8" s="2" t="s">
        <v>120</v>
      </c>
      <c r="O8" s="2" t="s">
        <v>121</v>
      </c>
      <c r="T8" s="2" t="s">
        <v>122</v>
      </c>
    </row>
    <row r="9" customFormat="false" ht="15" hidden="false" customHeight="false" outlineLevel="0" collapsed="false">
      <c r="H9" s="2" t="s">
        <v>123</v>
      </c>
      <c r="O9" s="2" t="s">
        <v>124</v>
      </c>
      <c r="T9" s="2" t="s">
        <v>125</v>
      </c>
    </row>
    <row r="10" customFormat="false" ht="15" hidden="false" customHeight="false" outlineLevel="0" collapsed="false">
      <c r="H10" s="2" t="s">
        <v>126</v>
      </c>
      <c r="O10" s="2" t="s">
        <v>127</v>
      </c>
      <c r="T10" s="2" t="s">
        <v>128</v>
      </c>
    </row>
    <row r="11" customFormat="false" ht="15" hidden="false" customHeight="false" outlineLevel="0" collapsed="false">
      <c r="H11" s="2" t="s">
        <v>129</v>
      </c>
      <c r="O11" s="2" t="s">
        <v>130</v>
      </c>
      <c r="T11" s="2" t="s">
        <v>131</v>
      </c>
    </row>
    <row r="12" customFormat="false" ht="15" hidden="false" customHeight="false" outlineLevel="0" collapsed="false">
      <c r="H12" s="2" t="s">
        <v>125</v>
      </c>
      <c r="T12" s="2" t="s">
        <v>132</v>
      </c>
    </row>
    <row r="13" customFormat="false" ht="15" hidden="false" customHeight="false" outlineLevel="0" collapsed="false">
      <c r="H13" s="2" t="s">
        <v>133</v>
      </c>
      <c r="T13" s="2" t="s">
        <v>105</v>
      </c>
    </row>
    <row r="14" customFormat="false" ht="15" hidden="false" customHeight="false" outlineLevel="0" collapsed="false">
      <c r="H14" s="2" t="s">
        <v>134</v>
      </c>
      <c r="T14" s="2" t="s">
        <v>135</v>
      </c>
    </row>
    <row r="15" customFormat="false" ht="15" hidden="false" customHeight="false" outlineLevel="0" collapsed="false">
      <c r="H15" s="2" t="s">
        <v>113</v>
      </c>
      <c r="T15" s="2" t="s">
        <v>136</v>
      </c>
    </row>
    <row r="16" customFormat="false" ht="15" hidden="false" customHeight="false" outlineLevel="0" collapsed="false">
      <c r="T16" s="2" t="s">
        <v>137</v>
      </c>
    </row>
    <row r="17" customFormat="false" ht="15" hidden="false" customHeight="false" outlineLevel="0" collapsed="false">
      <c r="T17" s="2" t="s">
        <v>138</v>
      </c>
    </row>
    <row r="18" customFormat="false" ht="15" hidden="false" customHeight="false" outlineLevel="0" collapsed="false">
      <c r="T18" s="2"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62"/>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3" width="13"/>
    <col collapsed="false" customWidth="true" hidden="false" outlineLevel="0" max="2" min="2" style="3" width="16"/>
    <col collapsed="false" customWidth="true" hidden="false" outlineLevel="0" max="3" min="3" style="3" width="27"/>
    <col collapsed="false" customWidth="true" hidden="false" outlineLevel="0" max="4" min="4" style="3" width="18"/>
    <col collapsed="false" customWidth="true" hidden="false" outlineLevel="0" max="5" min="5" style="3" width="13"/>
    <col collapsed="false" customWidth="true" hidden="false" outlineLevel="0" max="6" min="6" style="3" width="28"/>
    <col collapsed="false" customWidth="true" hidden="false" outlineLevel="0" max="7" min="7" style="3" width="34"/>
    <col collapsed="false" customWidth="true" hidden="false" outlineLevel="0" max="8" min="8" style="3" width="13"/>
  </cols>
  <sheetData>
    <row r="1" customFormat="false" ht="37.5" hidden="false" customHeight="true" outlineLevel="0" collapsed="false">
      <c r="A1" s="4" t="s">
        <v>139</v>
      </c>
      <c r="B1" s="4"/>
      <c r="C1" s="4"/>
      <c r="D1" s="4"/>
      <c r="E1" s="4"/>
      <c r="F1" s="4"/>
      <c r="G1" s="4"/>
      <c r="H1" s="4"/>
      <c r="I1" s="4"/>
      <c r="J1" s="4"/>
      <c r="K1" s="4"/>
      <c r="L1" s="4"/>
      <c r="M1" s="4"/>
      <c r="N1" s="4"/>
      <c r="O1" s="4"/>
      <c r="P1" s="4"/>
      <c r="Q1" s="4"/>
      <c r="R1" s="4"/>
      <c r="S1" s="4"/>
      <c r="T1" s="4"/>
    </row>
    <row r="2" customFormat="false" ht="19.5" hidden="false" customHeight="true" outlineLevel="0" collapsed="false">
      <c r="A2" s="5" t="str">
        <f aca="true">"Live view — updates automatically as you work. As of "&amp;TEXT(TODAY(),"dddd, dd mmmm yyyy")</f>
        <v>Live view — updates automatically as you work. As of Monday, 17 August 2026</v>
      </c>
      <c r="B2" s="5"/>
      <c r="C2" s="5"/>
      <c r="D2" s="5"/>
      <c r="E2" s="5"/>
      <c r="F2" s="5"/>
      <c r="G2" s="5"/>
      <c r="H2" s="5"/>
      <c r="I2" s="5"/>
      <c r="J2" s="5"/>
      <c r="K2" s="5"/>
      <c r="L2" s="5"/>
      <c r="M2" s="5"/>
      <c r="N2" s="5"/>
      <c r="O2" s="5"/>
      <c r="P2" s="5"/>
      <c r="Q2" s="5"/>
      <c r="R2" s="5"/>
      <c r="S2" s="5"/>
      <c r="T2" s="5"/>
    </row>
    <row r="4" customFormat="false" ht="24" hidden="false" customHeight="true" outlineLevel="0" collapsed="false">
      <c r="A4" s="6" t="s">
        <v>140</v>
      </c>
      <c r="B4" s="6"/>
      <c r="C4" s="6"/>
      <c r="D4" s="6"/>
      <c r="E4" s="6"/>
      <c r="F4" s="6"/>
      <c r="G4" s="6"/>
      <c r="H4" s="6"/>
      <c r="I4" s="6"/>
      <c r="J4" s="6"/>
      <c r="K4" s="6"/>
      <c r="L4" s="6"/>
      <c r="M4" s="6"/>
      <c r="N4" s="6"/>
      <c r="O4" s="6"/>
      <c r="P4" s="6"/>
      <c r="Q4" s="6"/>
      <c r="R4" s="6"/>
      <c r="S4" s="6"/>
      <c r="T4" s="6"/>
    </row>
    <row r="5" customFormat="false" ht="6" hidden="false" customHeight="true" outlineLevel="0" collapsed="false"/>
    <row r="6" customFormat="false" ht="15" hidden="false" customHeight="false" outlineLevel="0" collapsed="false">
      <c r="B6" s="7" t="s">
        <v>141</v>
      </c>
      <c r="C6" s="7"/>
      <c r="D6" s="7"/>
      <c r="F6" s="7" t="s">
        <v>142</v>
      </c>
      <c r="G6" s="7"/>
      <c r="H6" s="7"/>
      <c r="J6" s="7" t="s">
        <v>143</v>
      </c>
      <c r="K6" s="7"/>
      <c r="L6" s="7"/>
      <c r="N6" s="7" t="s">
        <v>144</v>
      </c>
      <c r="O6" s="7"/>
      <c r="P6" s="7"/>
      <c r="R6" s="7" t="s">
        <v>145</v>
      </c>
      <c r="S6" s="7"/>
      <c r="T6" s="7"/>
    </row>
    <row r="7" customFormat="false" ht="15" hidden="false" customHeight="false" outlineLevel="0" collapsed="false">
      <c r="B7" s="8" t="n">
        <f aca="false">COUNTIF(Clients!$V$5:$V$44,"Active")</f>
        <v>0</v>
      </c>
      <c r="C7" s="8"/>
      <c r="D7" s="8"/>
      <c r="F7" s="8" t="n">
        <f aca="false">SUMPRODUCT(('Fragrance Projects'!$A$5:$A$64&lt;&gt;"")*('Fragrance Projects'!$J$5:$J$64&lt;&gt;"Completed")*('Fragrance Projects'!$J$5:$J$64&lt;&gt;"On Hold"))</f>
        <v>0</v>
      </c>
      <c r="G7" s="8"/>
      <c r="H7" s="8"/>
      <c r="J7" s="8" t="n">
        <f aca="false">COUNTIF('Fragrance Projects'!$H$5:$H$64,"Awaiting Feedback")</f>
        <v>0</v>
      </c>
      <c r="K7" s="8"/>
      <c r="L7" s="8"/>
      <c r="N7" s="9" t="n">
        <f aca="false">COUNTIF('Fragrance Projects'!$O$5:$O$64,"Us")</f>
        <v>0</v>
      </c>
      <c r="O7" s="9"/>
      <c r="P7" s="9"/>
      <c r="R7" s="10" t="n">
        <f aca="false">SUM('Fragrance Projects'!$AA$5:$AA$64)</f>
        <v>0</v>
      </c>
      <c r="S7" s="10"/>
      <c r="T7" s="10"/>
    </row>
    <row r="8" customFormat="false" ht="15" hidden="false" customHeight="false" outlineLevel="0" collapsed="false">
      <c r="B8" s="8"/>
      <c r="C8" s="8"/>
      <c r="D8" s="8"/>
      <c r="F8" s="8"/>
      <c r="G8" s="8"/>
      <c r="H8" s="8"/>
      <c r="J8" s="8"/>
      <c r="K8" s="8"/>
      <c r="L8" s="8"/>
      <c r="N8" s="9"/>
      <c r="O8" s="9"/>
      <c r="P8" s="9"/>
      <c r="R8" s="10"/>
      <c r="S8" s="10"/>
      <c r="T8" s="10"/>
    </row>
    <row r="9" customFormat="false" ht="7.5" hidden="false" customHeight="true" outlineLevel="0" collapsed="false"/>
    <row r="11" customFormat="false" ht="15" hidden="false" customHeight="false" outlineLevel="0" collapsed="false">
      <c r="B11" s="7" t="s">
        <v>146</v>
      </c>
      <c r="C11" s="7"/>
      <c r="D11" s="7"/>
      <c r="F11" s="7" t="s">
        <v>147</v>
      </c>
      <c r="G11" s="7"/>
      <c r="H11" s="7"/>
      <c r="J11" s="7" t="s">
        <v>148</v>
      </c>
      <c r="K11" s="7"/>
      <c r="L11" s="7"/>
      <c r="N11" s="7" t="s">
        <v>149</v>
      </c>
      <c r="O11" s="7"/>
      <c r="P11" s="7"/>
      <c r="R11" s="7" t="s">
        <v>150</v>
      </c>
      <c r="S11" s="7"/>
      <c r="T11" s="7"/>
    </row>
    <row r="12" customFormat="false" ht="15" hidden="false" customHeight="false" outlineLevel="0" collapsed="false">
      <c r="B12" s="11" t="n">
        <f aca="false">SUM('Fragrance Projects'!$Z$5:$Z$64)</f>
        <v>0</v>
      </c>
      <c r="C12" s="11"/>
      <c r="D12" s="11"/>
      <c r="F12" s="12" t="n">
        <f aca="false">SUM('Project Financials'!$D$5:$D$64)</f>
        <v>0</v>
      </c>
      <c r="G12" s="12"/>
      <c r="H12" s="12"/>
      <c r="J12" s="13" t="n">
        <f aca="false">SUM(Payments!$G$5:$G$64)+SUM(Payments!$K$5:$K$64)</f>
        <v>0</v>
      </c>
      <c r="K12" s="13"/>
      <c r="L12" s="13"/>
      <c r="N12" s="14" t="n">
        <f aca="false">MAX(0,F12-J12)</f>
        <v>0</v>
      </c>
      <c r="O12" s="14"/>
      <c r="P12" s="14"/>
      <c r="R12" s="12" t="n">
        <f aca="false">SUM('Expense Log'!$J$5:$J$154)</f>
        <v>0</v>
      </c>
      <c r="S12" s="12"/>
      <c r="T12" s="12"/>
    </row>
    <row r="13" customFormat="false" ht="15" hidden="false" customHeight="false" outlineLevel="0" collapsed="false">
      <c r="B13" s="11"/>
      <c r="C13" s="11"/>
      <c r="D13" s="11"/>
      <c r="F13" s="12"/>
      <c r="G13" s="12"/>
      <c r="H13" s="12"/>
      <c r="J13" s="13"/>
      <c r="K13" s="13"/>
      <c r="L13" s="13"/>
      <c r="N13" s="14"/>
      <c r="O13" s="14"/>
      <c r="P13" s="14"/>
      <c r="R13" s="12"/>
      <c r="S13" s="12"/>
      <c r="T13" s="12"/>
    </row>
    <row r="14" customFormat="false" ht="7.5" hidden="false" customHeight="true" outlineLevel="0" collapsed="false"/>
    <row r="16" customFormat="false" ht="15" hidden="false" customHeight="false" outlineLevel="0" collapsed="false">
      <c r="B16" s="7" t="s">
        <v>151</v>
      </c>
      <c r="C16" s="7"/>
      <c r="D16" s="7"/>
      <c r="F16" s="7" t="s">
        <v>152</v>
      </c>
      <c r="G16" s="7"/>
      <c r="H16" s="7"/>
      <c r="J16" s="7" t="s">
        <v>153</v>
      </c>
      <c r="K16" s="7"/>
      <c r="L16" s="7"/>
      <c r="N16" s="7" t="s">
        <v>154</v>
      </c>
      <c r="O16" s="7"/>
      <c r="P16" s="7"/>
      <c r="R16" s="7" t="s">
        <v>155</v>
      </c>
      <c r="S16" s="7"/>
      <c r="T16" s="7"/>
    </row>
    <row r="17" customFormat="false" ht="15" hidden="false" customHeight="false" outlineLevel="0" collapsed="false">
      <c r="B17" s="13" t="n">
        <f aca="false">F12-R12</f>
        <v>0</v>
      </c>
      <c r="C17" s="13"/>
      <c r="D17" s="13"/>
      <c r="F17" s="15" t="n">
        <f aca="false">IFERROR(AVERAGEIF('Project Financials'!$D$5:$D$64,"&gt;0",'Project Financials'!$AC$5:$AC$64),0)</f>
        <v>0</v>
      </c>
      <c r="G17" s="15"/>
      <c r="H17" s="15"/>
      <c r="J17" s="12" t="n">
        <f aca="false">IFERROR(F12/B7,0)</f>
        <v>0</v>
      </c>
      <c r="K17" s="12"/>
      <c r="L17" s="12"/>
      <c r="N17" s="8" t="n">
        <f aca="false">SUMPRODUCT(('Fragrance Projects'!$S$5:$S$64="No")*('Fragrance Projects'!$J$5:$J$64&lt;&gt;"Completed")*('Fragrance Projects'!$J$5:$J$64&lt;&gt;"On Hold"))</f>
        <v>0</v>
      </c>
      <c r="O17" s="8"/>
      <c r="P17" s="8"/>
      <c r="R17" s="16" t="n">
        <f aca="false">COUNTIF('Fragrance Projects'!$T$5:$T$64,"Yes")</f>
        <v>0</v>
      </c>
      <c r="S17" s="16"/>
      <c r="T17" s="16"/>
    </row>
    <row r="18" customFormat="false" ht="15" hidden="false" customHeight="false" outlineLevel="0" collapsed="false">
      <c r="B18" s="13"/>
      <c r="C18" s="13"/>
      <c r="D18" s="13"/>
      <c r="F18" s="15"/>
      <c r="G18" s="15"/>
      <c r="H18" s="15"/>
      <c r="J18" s="12"/>
      <c r="K18" s="12"/>
      <c r="L18" s="12"/>
      <c r="N18" s="8"/>
      <c r="O18" s="8"/>
      <c r="P18" s="8"/>
      <c r="R18" s="16"/>
      <c r="S18" s="16"/>
      <c r="T18" s="16"/>
    </row>
    <row r="19" customFormat="false" ht="7.5" hidden="false" customHeight="true" outlineLevel="0" collapsed="false"/>
    <row r="21" customFormat="false" ht="24" hidden="false" customHeight="true" outlineLevel="0" collapsed="false">
      <c r="A21" s="6" t="s">
        <v>156</v>
      </c>
      <c r="B21" s="6"/>
      <c r="C21" s="6"/>
      <c r="D21" s="6"/>
      <c r="E21" s="6"/>
      <c r="F21" s="6"/>
      <c r="G21" s="6"/>
      <c r="H21" s="6"/>
      <c r="I21" s="6"/>
      <c r="J21" s="6"/>
      <c r="K21" s="6"/>
      <c r="L21" s="6"/>
      <c r="M21" s="6"/>
      <c r="N21" s="6"/>
      <c r="O21" s="6"/>
      <c r="P21" s="6"/>
      <c r="Q21" s="6"/>
      <c r="R21" s="6"/>
      <c r="S21" s="6"/>
      <c r="T21" s="6"/>
    </row>
    <row r="22" customFormat="false" ht="30" hidden="false" customHeight="true" outlineLevel="0" collapsed="false">
      <c r="A22" s="17" t="s">
        <v>50</v>
      </c>
      <c r="B22" s="17" t="s">
        <v>157</v>
      </c>
      <c r="C22" s="17" t="s">
        <v>158</v>
      </c>
      <c r="D22" s="17" t="s">
        <v>159</v>
      </c>
      <c r="E22" s="17" t="s">
        <v>160</v>
      </c>
      <c r="F22" s="17" t="s">
        <v>161</v>
      </c>
      <c r="G22" s="17" t="s">
        <v>162</v>
      </c>
    </row>
    <row r="23" customFormat="false" ht="15.75" hidden="false" customHeight="true" outlineLevel="0" collapsed="false">
      <c r="A23" s="18" t="str">
        <f aca="false">IFERROR(INDEX('Fragrance Projects'!$C$5:$C$64,SMALL('Fragrance Projects'!$AJ$5:$AJ$64,1)),"")</f>
        <v/>
      </c>
      <c r="B23" s="18" t="str">
        <f aca="false">IFERROR(INDEX('Fragrance Projects'!$D$5:$D$64,SMALL('Fragrance Projects'!$AJ$5:$AJ$64,1)),"")</f>
        <v/>
      </c>
      <c r="C23" s="18" t="str">
        <f aca="false">IFERROR(INDEX('Fragrance Projects'!$H$5:$H$64,SMALL('Fragrance Projects'!$AJ$5:$AJ$64,1)),"")</f>
        <v/>
      </c>
      <c r="D23" s="18" t="str">
        <f aca="false">IFERROR(INDEX('Fragrance Projects'!$G$5:$G$64,SMALL('Fragrance Projects'!$AJ$5:$AJ$64,1)),"")</f>
        <v/>
      </c>
      <c r="E23" s="19" t="str">
        <f aca="false">IFERROR(INDEX('Fragrance Projects'!$P$5:$P$64,SMALL('Fragrance Projects'!$AJ$5:$AJ$64,1)),"")</f>
        <v/>
      </c>
      <c r="F23" s="19" t="str">
        <f aca="false">IFERROR(INDEX('Fragrance Projects'!$AH$5:$AH$64,SMALL('Fragrance Projects'!$AJ$5:$AJ$64,1)),"")</f>
        <v/>
      </c>
      <c r="G23" s="20" t="str">
        <f aca="false">IFERROR(INDEX('Fragrance Projects'!$AK$5:$AK$64,SMALL('Fragrance Projects'!$AJ$5:$AJ$64,1)),"")</f>
        <v/>
      </c>
    </row>
    <row r="24" customFormat="false" ht="15.75" hidden="false" customHeight="true" outlineLevel="0" collapsed="false">
      <c r="A24" s="18" t="str">
        <f aca="false">IFERROR(INDEX('Fragrance Projects'!$C$5:$C$64,SMALL('Fragrance Projects'!$AJ$5:$AJ$64,2)),"")</f>
        <v/>
      </c>
      <c r="B24" s="18" t="str">
        <f aca="false">IFERROR(INDEX('Fragrance Projects'!$D$5:$D$64,SMALL('Fragrance Projects'!$AJ$5:$AJ$64,2)),"")</f>
        <v/>
      </c>
      <c r="C24" s="18" t="str">
        <f aca="false">IFERROR(INDEX('Fragrance Projects'!$H$5:$H$64,SMALL('Fragrance Projects'!$AJ$5:$AJ$64,2)),"")</f>
        <v/>
      </c>
      <c r="D24" s="18" t="str">
        <f aca="false">IFERROR(INDEX('Fragrance Projects'!$G$5:$G$64,SMALL('Fragrance Projects'!$AJ$5:$AJ$64,2)),"")</f>
        <v/>
      </c>
      <c r="E24" s="19" t="str">
        <f aca="false">IFERROR(INDEX('Fragrance Projects'!$P$5:$P$64,SMALL('Fragrance Projects'!$AJ$5:$AJ$64,2)),"")</f>
        <v/>
      </c>
      <c r="F24" s="19" t="str">
        <f aca="false">IFERROR(INDEX('Fragrance Projects'!$AH$5:$AH$64,SMALL('Fragrance Projects'!$AJ$5:$AJ$64,2)),"")</f>
        <v/>
      </c>
      <c r="G24" s="20" t="str">
        <f aca="false">IFERROR(INDEX('Fragrance Projects'!$AK$5:$AK$64,SMALL('Fragrance Projects'!$AJ$5:$AJ$64,2)),"")</f>
        <v/>
      </c>
    </row>
    <row r="25" customFormat="false" ht="15.75" hidden="false" customHeight="true" outlineLevel="0" collapsed="false">
      <c r="A25" s="18" t="str">
        <f aca="false">IFERROR(INDEX('Fragrance Projects'!$C$5:$C$64,SMALL('Fragrance Projects'!$AJ$5:$AJ$64,3)),"")</f>
        <v/>
      </c>
      <c r="B25" s="18" t="str">
        <f aca="false">IFERROR(INDEX('Fragrance Projects'!$D$5:$D$64,SMALL('Fragrance Projects'!$AJ$5:$AJ$64,3)),"")</f>
        <v/>
      </c>
      <c r="C25" s="18" t="str">
        <f aca="false">IFERROR(INDEX('Fragrance Projects'!$H$5:$H$64,SMALL('Fragrance Projects'!$AJ$5:$AJ$64,3)),"")</f>
        <v/>
      </c>
      <c r="D25" s="18" t="str">
        <f aca="false">IFERROR(INDEX('Fragrance Projects'!$G$5:$G$64,SMALL('Fragrance Projects'!$AJ$5:$AJ$64,3)),"")</f>
        <v/>
      </c>
      <c r="E25" s="19" t="str">
        <f aca="false">IFERROR(INDEX('Fragrance Projects'!$P$5:$P$64,SMALL('Fragrance Projects'!$AJ$5:$AJ$64,3)),"")</f>
        <v/>
      </c>
      <c r="F25" s="19" t="str">
        <f aca="false">IFERROR(INDEX('Fragrance Projects'!$AH$5:$AH$64,SMALL('Fragrance Projects'!$AJ$5:$AJ$64,3)),"")</f>
        <v/>
      </c>
      <c r="G25" s="20" t="str">
        <f aca="false">IFERROR(INDEX('Fragrance Projects'!$AK$5:$AK$64,SMALL('Fragrance Projects'!$AJ$5:$AJ$64,3)),"")</f>
        <v/>
      </c>
    </row>
    <row r="26" customFormat="false" ht="15.75" hidden="false" customHeight="true" outlineLevel="0" collapsed="false">
      <c r="A26" s="18" t="str">
        <f aca="false">IFERROR(INDEX('Fragrance Projects'!$C$5:$C$64,SMALL('Fragrance Projects'!$AJ$5:$AJ$64,4)),"")</f>
        <v/>
      </c>
      <c r="B26" s="18" t="str">
        <f aca="false">IFERROR(INDEX('Fragrance Projects'!$D$5:$D$64,SMALL('Fragrance Projects'!$AJ$5:$AJ$64,4)),"")</f>
        <v/>
      </c>
      <c r="C26" s="18" t="str">
        <f aca="false">IFERROR(INDEX('Fragrance Projects'!$H$5:$H$64,SMALL('Fragrance Projects'!$AJ$5:$AJ$64,4)),"")</f>
        <v/>
      </c>
      <c r="D26" s="18" t="str">
        <f aca="false">IFERROR(INDEX('Fragrance Projects'!$G$5:$G$64,SMALL('Fragrance Projects'!$AJ$5:$AJ$64,4)),"")</f>
        <v/>
      </c>
      <c r="E26" s="19" t="str">
        <f aca="false">IFERROR(INDEX('Fragrance Projects'!$P$5:$P$64,SMALL('Fragrance Projects'!$AJ$5:$AJ$64,4)),"")</f>
        <v/>
      </c>
      <c r="F26" s="19" t="str">
        <f aca="false">IFERROR(INDEX('Fragrance Projects'!$AH$5:$AH$64,SMALL('Fragrance Projects'!$AJ$5:$AJ$64,4)),"")</f>
        <v/>
      </c>
      <c r="G26" s="20" t="str">
        <f aca="false">IFERROR(INDEX('Fragrance Projects'!$AK$5:$AK$64,SMALL('Fragrance Projects'!$AJ$5:$AJ$64,4)),"")</f>
        <v/>
      </c>
    </row>
    <row r="27" customFormat="false" ht="15.75" hidden="false" customHeight="true" outlineLevel="0" collapsed="false">
      <c r="A27" s="18" t="str">
        <f aca="false">IFERROR(INDEX('Fragrance Projects'!$C$5:$C$64,SMALL('Fragrance Projects'!$AJ$5:$AJ$64,5)),"")</f>
        <v/>
      </c>
      <c r="B27" s="18" t="str">
        <f aca="false">IFERROR(INDEX('Fragrance Projects'!$D$5:$D$64,SMALL('Fragrance Projects'!$AJ$5:$AJ$64,5)),"")</f>
        <v/>
      </c>
      <c r="C27" s="18" t="str">
        <f aca="false">IFERROR(INDEX('Fragrance Projects'!$H$5:$H$64,SMALL('Fragrance Projects'!$AJ$5:$AJ$64,5)),"")</f>
        <v/>
      </c>
      <c r="D27" s="18" t="str">
        <f aca="false">IFERROR(INDEX('Fragrance Projects'!$G$5:$G$64,SMALL('Fragrance Projects'!$AJ$5:$AJ$64,5)),"")</f>
        <v/>
      </c>
      <c r="E27" s="19" t="str">
        <f aca="false">IFERROR(INDEX('Fragrance Projects'!$P$5:$P$64,SMALL('Fragrance Projects'!$AJ$5:$AJ$64,5)),"")</f>
        <v/>
      </c>
      <c r="F27" s="19" t="str">
        <f aca="false">IFERROR(INDEX('Fragrance Projects'!$AH$5:$AH$64,SMALL('Fragrance Projects'!$AJ$5:$AJ$64,5)),"")</f>
        <v/>
      </c>
      <c r="G27" s="20" t="str">
        <f aca="false">IFERROR(INDEX('Fragrance Projects'!$AK$5:$AK$64,SMALL('Fragrance Projects'!$AJ$5:$AJ$64,5)),"")</f>
        <v/>
      </c>
    </row>
    <row r="28" customFormat="false" ht="15.75" hidden="false" customHeight="true" outlineLevel="0" collapsed="false">
      <c r="A28" s="18" t="str">
        <f aca="false">IFERROR(INDEX('Fragrance Projects'!$C$5:$C$64,SMALL('Fragrance Projects'!$AJ$5:$AJ$64,6)),"")</f>
        <v/>
      </c>
      <c r="B28" s="18" t="str">
        <f aca="false">IFERROR(INDEX('Fragrance Projects'!$D$5:$D$64,SMALL('Fragrance Projects'!$AJ$5:$AJ$64,6)),"")</f>
        <v/>
      </c>
      <c r="C28" s="18" t="str">
        <f aca="false">IFERROR(INDEX('Fragrance Projects'!$H$5:$H$64,SMALL('Fragrance Projects'!$AJ$5:$AJ$64,6)),"")</f>
        <v/>
      </c>
      <c r="D28" s="18" t="str">
        <f aca="false">IFERROR(INDEX('Fragrance Projects'!$G$5:$G$64,SMALL('Fragrance Projects'!$AJ$5:$AJ$64,6)),"")</f>
        <v/>
      </c>
      <c r="E28" s="19" t="str">
        <f aca="false">IFERROR(INDEX('Fragrance Projects'!$P$5:$P$64,SMALL('Fragrance Projects'!$AJ$5:$AJ$64,6)),"")</f>
        <v/>
      </c>
      <c r="F28" s="19" t="str">
        <f aca="false">IFERROR(INDEX('Fragrance Projects'!$AH$5:$AH$64,SMALL('Fragrance Projects'!$AJ$5:$AJ$64,6)),"")</f>
        <v/>
      </c>
      <c r="G28" s="20" t="str">
        <f aca="false">IFERROR(INDEX('Fragrance Projects'!$AK$5:$AK$64,SMALL('Fragrance Projects'!$AJ$5:$AJ$64,6)),"")</f>
        <v/>
      </c>
    </row>
    <row r="29" customFormat="false" ht="15.75" hidden="false" customHeight="true" outlineLevel="0" collapsed="false">
      <c r="A29" s="18" t="str">
        <f aca="false">IFERROR(INDEX('Fragrance Projects'!$C$5:$C$64,SMALL('Fragrance Projects'!$AJ$5:$AJ$64,7)),"")</f>
        <v/>
      </c>
      <c r="B29" s="18" t="str">
        <f aca="false">IFERROR(INDEX('Fragrance Projects'!$D$5:$D$64,SMALL('Fragrance Projects'!$AJ$5:$AJ$64,7)),"")</f>
        <v/>
      </c>
      <c r="C29" s="18" t="str">
        <f aca="false">IFERROR(INDEX('Fragrance Projects'!$H$5:$H$64,SMALL('Fragrance Projects'!$AJ$5:$AJ$64,7)),"")</f>
        <v/>
      </c>
      <c r="D29" s="18" t="str">
        <f aca="false">IFERROR(INDEX('Fragrance Projects'!$G$5:$G$64,SMALL('Fragrance Projects'!$AJ$5:$AJ$64,7)),"")</f>
        <v/>
      </c>
      <c r="E29" s="19" t="str">
        <f aca="false">IFERROR(INDEX('Fragrance Projects'!$P$5:$P$64,SMALL('Fragrance Projects'!$AJ$5:$AJ$64,7)),"")</f>
        <v/>
      </c>
      <c r="F29" s="19" t="str">
        <f aca="false">IFERROR(INDEX('Fragrance Projects'!$AH$5:$AH$64,SMALL('Fragrance Projects'!$AJ$5:$AJ$64,7)),"")</f>
        <v/>
      </c>
      <c r="G29" s="20" t="str">
        <f aca="false">IFERROR(INDEX('Fragrance Projects'!$AK$5:$AK$64,SMALL('Fragrance Projects'!$AJ$5:$AJ$64,7)),"")</f>
        <v/>
      </c>
    </row>
    <row r="30" customFormat="false" ht="15.75" hidden="false" customHeight="true" outlineLevel="0" collapsed="false">
      <c r="A30" s="18" t="str">
        <f aca="false">IFERROR(INDEX('Fragrance Projects'!$C$5:$C$64,SMALL('Fragrance Projects'!$AJ$5:$AJ$64,8)),"")</f>
        <v/>
      </c>
      <c r="B30" s="18" t="str">
        <f aca="false">IFERROR(INDEX('Fragrance Projects'!$D$5:$D$64,SMALL('Fragrance Projects'!$AJ$5:$AJ$64,8)),"")</f>
        <v/>
      </c>
      <c r="C30" s="18" t="str">
        <f aca="false">IFERROR(INDEX('Fragrance Projects'!$H$5:$H$64,SMALL('Fragrance Projects'!$AJ$5:$AJ$64,8)),"")</f>
        <v/>
      </c>
      <c r="D30" s="18" t="str">
        <f aca="false">IFERROR(INDEX('Fragrance Projects'!$G$5:$G$64,SMALL('Fragrance Projects'!$AJ$5:$AJ$64,8)),"")</f>
        <v/>
      </c>
      <c r="E30" s="19" t="str">
        <f aca="false">IFERROR(INDEX('Fragrance Projects'!$P$5:$P$64,SMALL('Fragrance Projects'!$AJ$5:$AJ$64,8)),"")</f>
        <v/>
      </c>
      <c r="F30" s="19" t="str">
        <f aca="false">IFERROR(INDEX('Fragrance Projects'!$AH$5:$AH$64,SMALL('Fragrance Projects'!$AJ$5:$AJ$64,8)),"")</f>
        <v/>
      </c>
      <c r="G30" s="20" t="str">
        <f aca="false">IFERROR(INDEX('Fragrance Projects'!$AK$5:$AK$64,SMALL('Fragrance Projects'!$AJ$5:$AJ$64,8)),"")</f>
        <v/>
      </c>
    </row>
    <row r="31" customFormat="false" ht="15.75" hidden="false" customHeight="true" outlineLevel="0" collapsed="false">
      <c r="A31" s="18" t="str">
        <f aca="false">IFERROR(INDEX('Fragrance Projects'!$C$5:$C$64,SMALL('Fragrance Projects'!$AJ$5:$AJ$64,9)),"")</f>
        <v/>
      </c>
      <c r="B31" s="18" t="str">
        <f aca="false">IFERROR(INDEX('Fragrance Projects'!$D$5:$D$64,SMALL('Fragrance Projects'!$AJ$5:$AJ$64,9)),"")</f>
        <v/>
      </c>
      <c r="C31" s="18" t="str">
        <f aca="false">IFERROR(INDEX('Fragrance Projects'!$H$5:$H$64,SMALL('Fragrance Projects'!$AJ$5:$AJ$64,9)),"")</f>
        <v/>
      </c>
      <c r="D31" s="18" t="str">
        <f aca="false">IFERROR(INDEX('Fragrance Projects'!$G$5:$G$64,SMALL('Fragrance Projects'!$AJ$5:$AJ$64,9)),"")</f>
        <v/>
      </c>
      <c r="E31" s="19" t="str">
        <f aca="false">IFERROR(INDEX('Fragrance Projects'!$P$5:$P$64,SMALL('Fragrance Projects'!$AJ$5:$AJ$64,9)),"")</f>
        <v/>
      </c>
      <c r="F31" s="19" t="str">
        <f aca="false">IFERROR(INDEX('Fragrance Projects'!$AH$5:$AH$64,SMALL('Fragrance Projects'!$AJ$5:$AJ$64,9)),"")</f>
        <v/>
      </c>
      <c r="G31" s="20" t="str">
        <f aca="false">IFERROR(INDEX('Fragrance Projects'!$AK$5:$AK$64,SMALL('Fragrance Projects'!$AJ$5:$AJ$64,9)),"")</f>
        <v/>
      </c>
    </row>
    <row r="32" customFormat="false" ht="15.75" hidden="false" customHeight="true" outlineLevel="0" collapsed="false">
      <c r="A32" s="18" t="str">
        <f aca="false">IFERROR(INDEX('Fragrance Projects'!$C$5:$C$64,SMALL('Fragrance Projects'!$AJ$5:$AJ$64,10)),"")</f>
        <v/>
      </c>
      <c r="B32" s="18" t="str">
        <f aca="false">IFERROR(INDEX('Fragrance Projects'!$D$5:$D$64,SMALL('Fragrance Projects'!$AJ$5:$AJ$64,10)),"")</f>
        <v/>
      </c>
      <c r="C32" s="18" t="str">
        <f aca="false">IFERROR(INDEX('Fragrance Projects'!$H$5:$H$64,SMALL('Fragrance Projects'!$AJ$5:$AJ$64,10)),"")</f>
        <v/>
      </c>
      <c r="D32" s="18" t="str">
        <f aca="false">IFERROR(INDEX('Fragrance Projects'!$G$5:$G$64,SMALL('Fragrance Projects'!$AJ$5:$AJ$64,10)),"")</f>
        <v/>
      </c>
      <c r="E32" s="19" t="str">
        <f aca="false">IFERROR(INDEX('Fragrance Projects'!$P$5:$P$64,SMALL('Fragrance Projects'!$AJ$5:$AJ$64,10)),"")</f>
        <v/>
      </c>
      <c r="F32" s="19" t="str">
        <f aca="false">IFERROR(INDEX('Fragrance Projects'!$AH$5:$AH$64,SMALL('Fragrance Projects'!$AJ$5:$AJ$64,10)),"")</f>
        <v/>
      </c>
      <c r="G32" s="20" t="str">
        <f aca="false">IFERROR(INDEX('Fragrance Projects'!$AK$5:$AK$64,SMALL('Fragrance Projects'!$AJ$5:$AJ$64,10)),"")</f>
        <v/>
      </c>
    </row>
    <row r="34" customFormat="false" ht="24" hidden="false" customHeight="true" outlineLevel="0" collapsed="false">
      <c r="A34" s="6" t="s">
        <v>163</v>
      </c>
      <c r="B34" s="6"/>
      <c r="C34" s="6"/>
      <c r="D34" s="6"/>
      <c r="E34" s="6"/>
      <c r="F34" s="6"/>
      <c r="G34" s="6"/>
      <c r="H34" s="6"/>
      <c r="I34" s="6"/>
      <c r="J34" s="6"/>
      <c r="K34" s="6"/>
      <c r="L34" s="6"/>
      <c r="M34" s="6"/>
      <c r="N34" s="6"/>
      <c r="O34" s="6"/>
      <c r="P34" s="6"/>
      <c r="Q34" s="6"/>
      <c r="R34" s="6"/>
      <c r="S34" s="6"/>
      <c r="T34" s="6"/>
    </row>
    <row r="35" customFormat="false" ht="30" hidden="false" customHeight="true" outlineLevel="0" collapsed="false">
      <c r="A35" s="17" t="s">
        <v>50</v>
      </c>
      <c r="B35" s="17" t="s">
        <v>157</v>
      </c>
      <c r="C35" s="17" t="s">
        <v>164</v>
      </c>
      <c r="D35" s="17" t="s">
        <v>159</v>
      </c>
      <c r="E35" s="17" t="s">
        <v>158</v>
      </c>
      <c r="F35" s="17" t="s">
        <v>160</v>
      </c>
    </row>
    <row r="36" customFormat="false" ht="15.75" hidden="false" customHeight="true" outlineLevel="0" collapsed="false">
      <c r="A36" s="18" t="str">
        <f aca="false">IFERROR(INDEX('Fragrance Projects'!$C$5:$C$64,MOD(SMALL('Fragrance Projects'!$AI$5:$AI$64,1),1000)),"")</f>
        <v/>
      </c>
      <c r="B36" s="18" t="str">
        <f aca="false">IFERROR(INDEX('Fragrance Projects'!$D$5:$D$64,MOD(SMALL('Fragrance Projects'!$AI$5:$AI$64,1),1000)),"")</f>
        <v/>
      </c>
      <c r="C36" s="21" t="str">
        <f aca="false">IFERROR(INDEX('Fragrance Projects'!$F$5:$F$64,MOD(SMALL('Fragrance Projects'!$AI$5:$AI$64,1),1000)),"")</f>
        <v/>
      </c>
      <c r="D36" s="18" t="str">
        <f aca="false">IFERROR(INDEX('Fragrance Projects'!$G$5:$G$64,MOD(SMALL('Fragrance Projects'!$AI$5:$AI$64,1),1000)),"")</f>
        <v/>
      </c>
      <c r="E36" s="18" t="str">
        <f aca="false">IFERROR(INDEX('Fragrance Projects'!$H$5:$H$64,MOD(SMALL('Fragrance Projects'!$AI$5:$AI$64,1),1000)),"")</f>
        <v/>
      </c>
      <c r="F36" s="19" t="str">
        <f aca="false">IFERROR(INDEX('Fragrance Projects'!$P$5:$P$64,MOD(SMALL('Fragrance Projects'!$AI$5:$AI$64,1),1000)),"")</f>
        <v/>
      </c>
    </row>
    <row r="37" customFormat="false" ht="15.75" hidden="false" customHeight="true" outlineLevel="0" collapsed="false">
      <c r="A37" s="18" t="str">
        <f aca="false">IFERROR(INDEX('Fragrance Projects'!$C$5:$C$64,MOD(SMALL('Fragrance Projects'!$AI$5:$AI$64,2),1000)),"")</f>
        <v/>
      </c>
      <c r="B37" s="18" t="str">
        <f aca="false">IFERROR(INDEX('Fragrance Projects'!$D$5:$D$64,MOD(SMALL('Fragrance Projects'!$AI$5:$AI$64,2),1000)),"")</f>
        <v/>
      </c>
      <c r="C37" s="21" t="str">
        <f aca="false">IFERROR(INDEX('Fragrance Projects'!$F$5:$F$64,MOD(SMALL('Fragrance Projects'!$AI$5:$AI$64,2),1000)),"")</f>
        <v/>
      </c>
      <c r="D37" s="18" t="str">
        <f aca="false">IFERROR(INDEX('Fragrance Projects'!$G$5:$G$64,MOD(SMALL('Fragrance Projects'!$AI$5:$AI$64,2),1000)),"")</f>
        <v/>
      </c>
      <c r="E37" s="18" t="str">
        <f aca="false">IFERROR(INDEX('Fragrance Projects'!$H$5:$H$64,MOD(SMALL('Fragrance Projects'!$AI$5:$AI$64,2),1000)),"")</f>
        <v/>
      </c>
      <c r="F37" s="19" t="str">
        <f aca="false">IFERROR(INDEX('Fragrance Projects'!$P$5:$P$64,MOD(SMALL('Fragrance Projects'!$AI$5:$AI$64,2),1000)),"")</f>
        <v/>
      </c>
    </row>
    <row r="38" customFormat="false" ht="15.75" hidden="false" customHeight="true" outlineLevel="0" collapsed="false">
      <c r="A38" s="18" t="str">
        <f aca="false">IFERROR(INDEX('Fragrance Projects'!$C$5:$C$64,MOD(SMALL('Fragrance Projects'!$AI$5:$AI$64,3),1000)),"")</f>
        <v/>
      </c>
      <c r="B38" s="18" t="str">
        <f aca="false">IFERROR(INDEX('Fragrance Projects'!$D$5:$D$64,MOD(SMALL('Fragrance Projects'!$AI$5:$AI$64,3),1000)),"")</f>
        <v/>
      </c>
      <c r="C38" s="21" t="str">
        <f aca="false">IFERROR(INDEX('Fragrance Projects'!$F$5:$F$64,MOD(SMALL('Fragrance Projects'!$AI$5:$AI$64,3),1000)),"")</f>
        <v/>
      </c>
      <c r="D38" s="18" t="str">
        <f aca="false">IFERROR(INDEX('Fragrance Projects'!$G$5:$G$64,MOD(SMALL('Fragrance Projects'!$AI$5:$AI$64,3),1000)),"")</f>
        <v/>
      </c>
      <c r="E38" s="18" t="str">
        <f aca="false">IFERROR(INDEX('Fragrance Projects'!$H$5:$H$64,MOD(SMALL('Fragrance Projects'!$AI$5:$AI$64,3),1000)),"")</f>
        <v/>
      </c>
      <c r="F38" s="19" t="str">
        <f aca="false">IFERROR(INDEX('Fragrance Projects'!$P$5:$P$64,MOD(SMALL('Fragrance Projects'!$AI$5:$AI$64,3),1000)),"")</f>
        <v/>
      </c>
    </row>
    <row r="39" customFormat="false" ht="15.75" hidden="false" customHeight="true" outlineLevel="0" collapsed="false">
      <c r="A39" s="18" t="str">
        <f aca="false">IFERROR(INDEX('Fragrance Projects'!$C$5:$C$64,MOD(SMALL('Fragrance Projects'!$AI$5:$AI$64,4),1000)),"")</f>
        <v/>
      </c>
      <c r="B39" s="18" t="str">
        <f aca="false">IFERROR(INDEX('Fragrance Projects'!$D$5:$D$64,MOD(SMALL('Fragrance Projects'!$AI$5:$AI$64,4),1000)),"")</f>
        <v/>
      </c>
      <c r="C39" s="21" t="str">
        <f aca="false">IFERROR(INDEX('Fragrance Projects'!$F$5:$F$64,MOD(SMALL('Fragrance Projects'!$AI$5:$AI$64,4),1000)),"")</f>
        <v/>
      </c>
      <c r="D39" s="18" t="str">
        <f aca="false">IFERROR(INDEX('Fragrance Projects'!$G$5:$G$64,MOD(SMALL('Fragrance Projects'!$AI$5:$AI$64,4),1000)),"")</f>
        <v/>
      </c>
      <c r="E39" s="18" t="str">
        <f aca="false">IFERROR(INDEX('Fragrance Projects'!$H$5:$H$64,MOD(SMALL('Fragrance Projects'!$AI$5:$AI$64,4),1000)),"")</f>
        <v/>
      </c>
      <c r="F39" s="19" t="str">
        <f aca="false">IFERROR(INDEX('Fragrance Projects'!$P$5:$P$64,MOD(SMALL('Fragrance Projects'!$AI$5:$AI$64,4),1000)),"")</f>
        <v/>
      </c>
    </row>
    <row r="40" customFormat="false" ht="15.75" hidden="false" customHeight="true" outlineLevel="0" collapsed="false">
      <c r="A40" s="18" t="str">
        <f aca="false">IFERROR(INDEX('Fragrance Projects'!$C$5:$C$64,MOD(SMALL('Fragrance Projects'!$AI$5:$AI$64,5),1000)),"")</f>
        <v/>
      </c>
      <c r="B40" s="18" t="str">
        <f aca="false">IFERROR(INDEX('Fragrance Projects'!$D$5:$D$64,MOD(SMALL('Fragrance Projects'!$AI$5:$AI$64,5),1000)),"")</f>
        <v/>
      </c>
      <c r="C40" s="21" t="str">
        <f aca="false">IFERROR(INDEX('Fragrance Projects'!$F$5:$F$64,MOD(SMALL('Fragrance Projects'!$AI$5:$AI$64,5),1000)),"")</f>
        <v/>
      </c>
      <c r="D40" s="18" t="str">
        <f aca="false">IFERROR(INDEX('Fragrance Projects'!$G$5:$G$64,MOD(SMALL('Fragrance Projects'!$AI$5:$AI$64,5),1000)),"")</f>
        <v/>
      </c>
      <c r="E40" s="18" t="str">
        <f aca="false">IFERROR(INDEX('Fragrance Projects'!$H$5:$H$64,MOD(SMALL('Fragrance Projects'!$AI$5:$AI$64,5),1000)),"")</f>
        <v/>
      </c>
      <c r="F40" s="19" t="str">
        <f aca="false">IFERROR(INDEX('Fragrance Projects'!$P$5:$P$64,MOD(SMALL('Fragrance Projects'!$AI$5:$AI$64,5),1000)),"")</f>
        <v/>
      </c>
    </row>
    <row r="41" customFormat="false" ht="15.75" hidden="false" customHeight="true" outlineLevel="0" collapsed="false">
      <c r="A41" s="18" t="str">
        <f aca="false">IFERROR(INDEX('Fragrance Projects'!$C$5:$C$64,MOD(SMALL('Fragrance Projects'!$AI$5:$AI$64,6),1000)),"")</f>
        <v/>
      </c>
      <c r="B41" s="18" t="str">
        <f aca="false">IFERROR(INDEX('Fragrance Projects'!$D$5:$D$64,MOD(SMALL('Fragrance Projects'!$AI$5:$AI$64,6),1000)),"")</f>
        <v/>
      </c>
      <c r="C41" s="21" t="str">
        <f aca="false">IFERROR(INDEX('Fragrance Projects'!$F$5:$F$64,MOD(SMALL('Fragrance Projects'!$AI$5:$AI$64,6),1000)),"")</f>
        <v/>
      </c>
      <c r="D41" s="18" t="str">
        <f aca="false">IFERROR(INDEX('Fragrance Projects'!$G$5:$G$64,MOD(SMALL('Fragrance Projects'!$AI$5:$AI$64,6),1000)),"")</f>
        <v/>
      </c>
      <c r="E41" s="18" t="str">
        <f aca="false">IFERROR(INDEX('Fragrance Projects'!$H$5:$H$64,MOD(SMALL('Fragrance Projects'!$AI$5:$AI$64,6),1000)),"")</f>
        <v/>
      </c>
      <c r="F41" s="19" t="str">
        <f aca="false">IFERROR(INDEX('Fragrance Projects'!$P$5:$P$64,MOD(SMALL('Fragrance Projects'!$AI$5:$AI$64,6),1000)),"")</f>
        <v/>
      </c>
    </row>
    <row r="42" customFormat="false" ht="15.75" hidden="false" customHeight="true" outlineLevel="0" collapsed="false">
      <c r="A42" s="18" t="str">
        <f aca="false">IFERROR(INDEX('Fragrance Projects'!$C$5:$C$64,MOD(SMALL('Fragrance Projects'!$AI$5:$AI$64,7),1000)),"")</f>
        <v/>
      </c>
      <c r="B42" s="18" t="str">
        <f aca="false">IFERROR(INDEX('Fragrance Projects'!$D$5:$D$64,MOD(SMALL('Fragrance Projects'!$AI$5:$AI$64,7),1000)),"")</f>
        <v/>
      </c>
      <c r="C42" s="21" t="str">
        <f aca="false">IFERROR(INDEX('Fragrance Projects'!$F$5:$F$64,MOD(SMALL('Fragrance Projects'!$AI$5:$AI$64,7),1000)),"")</f>
        <v/>
      </c>
      <c r="D42" s="18" t="str">
        <f aca="false">IFERROR(INDEX('Fragrance Projects'!$G$5:$G$64,MOD(SMALL('Fragrance Projects'!$AI$5:$AI$64,7),1000)),"")</f>
        <v/>
      </c>
      <c r="E42" s="18" t="str">
        <f aca="false">IFERROR(INDEX('Fragrance Projects'!$H$5:$H$64,MOD(SMALL('Fragrance Projects'!$AI$5:$AI$64,7),1000)),"")</f>
        <v/>
      </c>
      <c r="F42" s="19" t="str">
        <f aca="false">IFERROR(INDEX('Fragrance Projects'!$P$5:$P$64,MOD(SMALL('Fragrance Projects'!$AI$5:$AI$64,7),1000)),"")</f>
        <v/>
      </c>
    </row>
    <row r="43" customFormat="false" ht="15.75" hidden="false" customHeight="true" outlineLevel="0" collapsed="false">
      <c r="A43" s="18" t="str">
        <f aca="false">IFERROR(INDEX('Fragrance Projects'!$C$5:$C$64,MOD(SMALL('Fragrance Projects'!$AI$5:$AI$64,8),1000)),"")</f>
        <v/>
      </c>
      <c r="B43" s="18" t="str">
        <f aca="false">IFERROR(INDEX('Fragrance Projects'!$D$5:$D$64,MOD(SMALL('Fragrance Projects'!$AI$5:$AI$64,8),1000)),"")</f>
        <v/>
      </c>
      <c r="C43" s="21" t="str">
        <f aca="false">IFERROR(INDEX('Fragrance Projects'!$F$5:$F$64,MOD(SMALL('Fragrance Projects'!$AI$5:$AI$64,8),1000)),"")</f>
        <v/>
      </c>
      <c r="D43" s="18" t="str">
        <f aca="false">IFERROR(INDEX('Fragrance Projects'!$G$5:$G$64,MOD(SMALL('Fragrance Projects'!$AI$5:$AI$64,8),1000)),"")</f>
        <v/>
      </c>
      <c r="E43" s="18" t="str">
        <f aca="false">IFERROR(INDEX('Fragrance Projects'!$H$5:$H$64,MOD(SMALL('Fragrance Projects'!$AI$5:$AI$64,8),1000)),"")</f>
        <v/>
      </c>
      <c r="F43" s="19" t="str">
        <f aca="false">IFERROR(INDEX('Fragrance Projects'!$P$5:$P$64,MOD(SMALL('Fragrance Projects'!$AI$5:$AI$64,8),1000)),"")</f>
        <v/>
      </c>
    </row>
    <row r="45" customFormat="false" ht="24" hidden="false" customHeight="true" outlineLevel="0" collapsed="false">
      <c r="A45" s="6" t="s">
        <v>165</v>
      </c>
      <c r="B45" s="6"/>
      <c r="C45" s="6"/>
      <c r="D45" s="6"/>
      <c r="E45" s="6"/>
      <c r="F45" s="6"/>
      <c r="G45" s="6"/>
      <c r="H45" s="6"/>
      <c r="I45" s="6"/>
      <c r="J45" s="6"/>
      <c r="K45" s="6"/>
      <c r="L45" s="6"/>
      <c r="M45" s="6"/>
      <c r="N45" s="6"/>
      <c r="O45" s="6"/>
      <c r="P45" s="6"/>
      <c r="Q45" s="6"/>
      <c r="R45" s="6"/>
      <c r="S45" s="6"/>
      <c r="T45" s="6"/>
    </row>
    <row r="46" customFormat="false" ht="15" hidden="false" customHeight="false" outlineLevel="0" collapsed="false">
      <c r="A46" s="22" t="s">
        <v>166</v>
      </c>
    </row>
    <row r="47" customFormat="false" ht="13.5" hidden="false" customHeight="true" outlineLevel="0" collapsed="false">
      <c r="A47" s="1" t="s">
        <v>167</v>
      </c>
      <c r="B47" s="1" t="s">
        <v>168</v>
      </c>
      <c r="C47" s="1" t="s">
        <v>169</v>
      </c>
      <c r="D47" s="1" t="s">
        <v>170</v>
      </c>
      <c r="F47" s="1" t="s">
        <v>7</v>
      </c>
      <c r="G47" s="1" t="s">
        <v>171</v>
      </c>
      <c r="I47" s="1" t="s">
        <v>50</v>
      </c>
      <c r="J47" s="1" t="s">
        <v>172</v>
      </c>
    </row>
    <row r="48" customFormat="false" ht="13.5" hidden="false" customHeight="true" outlineLevel="0" collapsed="false">
      <c r="A48" s="2" t="str">
        <f aca="true">TEXT(DATE(YEAR(EDATE(TODAY(),-7)),MONTH(EDATE(TODAY(),-7)),1),"mmm yy")</f>
        <v>Jan 26</v>
      </c>
      <c r="B48" s="23" t="n">
        <f aca="true">SUMIFS(Payments!$G$5:$G$64,Payments!$H$5:$H$64,"&gt;="&amp;DATE(YEAR(EDATE(TODAY(),-7)),MONTH(EDATE(TODAY(),-7)),1),Payments!$H$5:$H$64,"&lt;="&amp;EDATE(DATE(YEAR(EDATE(TODAY(),-7)),MONTH(EDATE(TODAY(),-7)),1),1)-1)+SUMIFS(Payments!$K$5:$K$64,Payments!$J$5:$J$64,"&gt;="&amp;DATE(YEAR(EDATE(TODAY(),-7)),MONTH(EDATE(TODAY(),-7)),1),Payments!$J$5:$J$64,"&lt;="&amp;EDATE(DATE(YEAR(EDATE(TODAY(),-7)),MONTH(EDATE(TODAY(),-7)),1),1)-1)</f>
        <v>0</v>
      </c>
      <c r="C48" s="23" t="n">
        <f aca="true">SUMIFS('Expense Log'!$J$5:$J$154,'Expense Log'!$A$5:$A$154,"&gt;="&amp;DATE(YEAR(EDATE(TODAY(),-7)),MONTH(EDATE(TODAY(),-7)),1),'Expense Log'!$A$5:$A$154,"&lt;="&amp;EDATE(DATE(YEAR(EDATE(TODAY(),-7)),MONTH(EDATE(TODAY(),-7)),1),1)-1)</f>
        <v>0</v>
      </c>
      <c r="D48" s="23" t="n">
        <f aca="false">B48-C48</f>
        <v>0</v>
      </c>
      <c r="F48" s="2" t="s">
        <v>30</v>
      </c>
      <c r="G48" s="2" t="n">
        <f aca="false">COUNTIF('Fragrance Projects'!$H$5:$H$64,"Brief")</f>
        <v>0</v>
      </c>
      <c r="I48" s="2" t="n">
        <f aca="false">IFERROR(INDEX(Clients!$B$5:$B$44,1),"")</f>
        <v>0</v>
      </c>
      <c r="J48" s="2" t="str">
        <f aca="false">IF($I48="","",SUMPRODUCT(('Fragrance Projects'!$C$5:$C$64=$I48)*('Fragrance Projects'!$J$5:$J$64&lt;&gt;"Completed")*('Fragrance Projects'!$J$5:$J$64&lt;&gt;"On Hold")))</f>
        <v/>
      </c>
    </row>
    <row r="49" customFormat="false" ht="13.5" hidden="false" customHeight="true" outlineLevel="0" collapsed="false">
      <c r="A49" s="2" t="str">
        <f aca="true">TEXT(DATE(YEAR(EDATE(TODAY(),-6)),MONTH(EDATE(TODAY(),-6)),1),"mmm yy")</f>
        <v>Feb 26</v>
      </c>
      <c r="B49" s="23" t="n">
        <f aca="true">SUMIFS(Payments!$G$5:$G$64,Payments!$H$5:$H$64,"&gt;="&amp;DATE(YEAR(EDATE(TODAY(),-6)),MONTH(EDATE(TODAY(),-6)),1),Payments!$H$5:$H$64,"&lt;="&amp;EDATE(DATE(YEAR(EDATE(TODAY(),-6)),MONTH(EDATE(TODAY(),-6)),1),1)-1)+SUMIFS(Payments!$K$5:$K$64,Payments!$J$5:$J$64,"&gt;="&amp;DATE(YEAR(EDATE(TODAY(),-6)),MONTH(EDATE(TODAY(),-6)),1),Payments!$J$5:$J$64,"&lt;="&amp;EDATE(DATE(YEAR(EDATE(TODAY(),-6)),MONTH(EDATE(TODAY(),-6)),1),1)-1)</f>
        <v>0</v>
      </c>
      <c r="C49" s="23" t="n">
        <f aca="true">SUMIFS('Expense Log'!$J$5:$J$154,'Expense Log'!$A$5:$A$154,"&gt;="&amp;DATE(YEAR(EDATE(TODAY(),-6)),MONTH(EDATE(TODAY(),-6)),1),'Expense Log'!$A$5:$A$154,"&lt;="&amp;EDATE(DATE(YEAR(EDATE(TODAY(),-6)),MONTH(EDATE(TODAY(),-6)),1),1)-1)</f>
        <v>0</v>
      </c>
      <c r="D49" s="23" t="n">
        <f aca="false">B49-C49</f>
        <v>0</v>
      </c>
      <c r="F49" s="2" t="s">
        <v>49</v>
      </c>
      <c r="G49" s="2" t="n">
        <f aca="false">COUNTIF('Fragrance Projects'!$H$5:$H$64,"Research")</f>
        <v>0</v>
      </c>
      <c r="I49" s="2" t="n">
        <f aca="false">IFERROR(INDEX(Clients!$B$5:$B$44,2),"")</f>
        <v>0</v>
      </c>
      <c r="J49" s="2" t="str">
        <f aca="false">IF($I49="","",SUMPRODUCT(('Fragrance Projects'!$C$5:$C$64=$I49)*('Fragrance Projects'!$J$5:$J$64&lt;&gt;"Completed")*('Fragrance Projects'!$J$5:$J$64&lt;&gt;"On Hold")))</f>
        <v/>
      </c>
    </row>
    <row r="50" customFormat="false" ht="13.5" hidden="false" customHeight="true" outlineLevel="0" collapsed="false">
      <c r="A50" s="2" t="str">
        <f aca="true">TEXT(DATE(YEAR(EDATE(TODAY(),-5)),MONTH(EDATE(TODAY(),-5)),1),"mmm yy")</f>
        <v>Mar 26</v>
      </c>
      <c r="B50" s="23" t="n">
        <f aca="true">SUMIFS(Payments!$G$5:$G$64,Payments!$H$5:$H$64,"&gt;="&amp;DATE(YEAR(EDATE(TODAY(),-5)),MONTH(EDATE(TODAY(),-5)),1),Payments!$H$5:$H$64,"&lt;="&amp;EDATE(DATE(YEAR(EDATE(TODAY(),-5)),MONTH(EDATE(TODAY(),-5)),1),1)-1)+SUMIFS(Payments!$K$5:$K$64,Payments!$J$5:$J$64,"&gt;="&amp;DATE(YEAR(EDATE(TODAY(),-5)),MONTH(EDATE(TODAY(),-5)),1),Payments!$J$5:$J$64,"&lt;="&amp;EDATE(DATE(YEAR(EDATE(TODAY(),-5)),MONTH(EDATE(TODAY(),-5)),1),1)-1)</f>
        <v>0</v>
      </c>
      <c r="C50" s="23" t="n">
        <f aca="true">SUMIFS('Expense Log'!$J$5:$J$154,'Expense Log'!$A$5:$A$154,"&gt;="&amp;DATE(YEAR(EDATE(TODAY(),-5)),MONTH(EDATE(TODAY(),-5)),1),'Expense Log'!$A$5:$A$154,"&lt;="&amp;EDATE(DATE(YEAR(EDATE(TODAY(),-5)),MONTH(EDATE(TODAY(),-5)),1),1)-1)</f>
        <v>0</v>
      </c>
      <c r="D50" s="23" t="n">
        <f aca="false">B50-C50</f>
        <v>0</v>
      </c>
      <c r="F50" s="2" t="s">
        <v>68</v>
      </c>
      <c r="G50" s="2" t="n">
        <f aca="false">COUNTIF('Fragrance Projects'!$H$5:$H$64,"Concept Development")</f>
        <v>0</v>
      </c>
      <c r="I50" s="2" t="n">
        <f aca="false">IFERROR(INDEX(Clients!$B$5:$B$44,3),"")</f>
        <v>0</v>
      </c>
      <c r="J50" s="2" t="str">
        <f aca="false">IF($I50="","",SUMPRODUCT(('Fragrance Projects'!$C$5:$C$64=$I50)*('Fragrance Projects'!$J$5:$J$64&lt;&gt;"Completed")*('Fragrance Projects'!$J$5:$J$64&lt;&gt;"On Hold")))</f>
        <v/>
      </c>
    </row>
    <row r="51" customFormat="false" ht="13.5" hidden="false" customHeight="true" outlineLevel="0" collapsed="false">
      <c r="A51" s="2" t="str">
        <f aca="true">TEXT(DATE(YEAR(EDATE(TODAY(),-4)),MONTH(EDATE(TODAY(),-4)),1),"mmm yy")</f>
        <v>Apr 26</v>
      </c>
      <c r="B51" s="23" t="n">
        <f aca="true">SUMIFS(Payments!$G$5:$G$64,Payments!$H$5:$H$64,"&gt;="&amp;DATE(YEAR(EDATE(TODAY(),-4)),MONTH(EDATE(TODAY(),-4)),1),Payments!$H$5:$H$64,"&lt;="&amp;EDATE(DATE(YEAR(EDATE(TODAY(),-4)),MONTH(EDATE(TODAY(),-4)),1),1)-1)+SUMIFS(Payments!$K$5:$K$64,Payments!$J$5:$J$64,"&gt;="&amp;DATE(YEAR(EDATE(TODAY(),-4)),MONTH(EDATE(TODAY(),-4)),1),Payments!$J$5:$J$64,"&lt;="&amp;EDATE(DATE(YEAR(EDATE(TODAY(),-4)),MONTH(EDATE(TODAY(),-4)),1),1)-1)</f>
        <v>0</v>
      </c>
      <c r="C51" s="23" t="n">
        <f aca="true">SUMIFS('Expense Log'!$J$5:$J$154,'Expense Log'!$A$5:$A$154,"&gt;="&amp;DATE(YEAR(EDATE(TODAY(),-4)),MONTH(EDATE(TODAY(),-4)),1),'Expense Log'!$A$5:$A$154,"&lt;="&amp;EDATE(DATE(YEAR(EDATE(TODAY(),-4)),MONTH(EDATE(TODAY(),-4)),1),1)-1)</f>
        <v>0</v>
      </c>
      <c r="D51" s="23" t="n">
        <f aca="false">B51-C51</f>
        <v>0</v>
      </c>
      <c r="F51" s="2" t="s">
        <v>88</v>
      </c>
      <c r="G51" s="2" t="n">
        <f aca="false">COUNTIF('Fragrance Projects'!$H$5:$H$64,"Formula Development")</f>
        <v>0</v>
      </c>
      <c r="I51" s="2" t="n">
        <f aca="false">IFERROR(INDEX(Clients!$B$5:$B$44,4),"")</f>
        <v>0</v>
      </c>
      <c r="J51" s="2" t="str">
        <f aca="false">IF($I51="","",SUMPRODUCT(('Fragrance Projects'!$C$5:$C$64=$I51)*('Fragrance Projects'!$J$5:$J$64&lt;&gt;"Completed")*('Fragrance Projects'!$J$5:$J$64&lt;&gt;"On Hold")))</f>
        <v/>
      </c>
    </row>
    <row r="52" customFormat="false" ht="13.5" hidden="false" customHeight="true" outlineLevel="0" collapsed="false">
      <c r="A52" s="2" t="str">
        <f aca="true">TEXT(DATE(YEAR(EDATE(TODAY(),-3)),MONTH(EDATE(TODAY(),-3)),1),"mmm yy")</f>
        <v>May 26</v>
      </c>
      <c r="B52" s="23" t="n">
        <f aca="true">SUMIFS(Payments!$G$5:$G$64,Payments!$H$5:$H$64,"&gt;="&amp;DATE(YEAR(EDATE(TODAY(),-3)),MONTH(EDATE(TODAY(),-3)),1),Payments!$H$5:$H$64,"&lt;="&amp;EDATE(DATE(YEAR(EDATE(TODAY(),-3)),MONTH(EDATE(TODAY(),-3)),1),1)-1)+SUMIFS(Payments!$K$5:$K$64,Payments!$J$5:$J$64,"&gt;="&amp;DATE(YEAR(EDATE(TODAY(),-3)),MONTH(EDATE(TODAY(),-3)),1),Payments!$J$5:$J$64,"&lt;="&amp;EDATE(DATE(YEAR(EDATE(TODAY(),-3)),MONTH(EDATE(TODAY(),-3)),1),1)-1)</f>
        <v>0</v>
      </c>
      <c r="C52" s="23" t="n">
        <f aca="true">SUMIFS('Expense Log'!$J$5:$J$154,'Expense Log'!$A$5:$A$154,"&gt;="&amp;DATE(YEAR(EDATE(TODAY(),-3)),MONTH(EDATE(TODAY(),-3)),1),'Expense Log'!$A$5:$A$154,"&lt;="&amp;EDATE(DATE(YEAR(EDATE(TODAY(),-3)),MONTH(EDATE(TODAY(),-3)),1),1)-1)</f>
        <v>0</v>
      </c>
      <c r="D52" s="23" t="n">
        <f aca="false">B52-C52</f>
        <v>0</v>
      </c>
      <c r="F52" s="2" t="s">
        <v>105</v>
      </c>
      <c r="G52" s="2" t="n">
        <f aca="false">COUNTIF('Fragrance Projects'!$H$5:$H$64,"Compounding")</f>
        <v>0</v>
      </c>
      <c r="I52" s="2" t="n">
        <f aca="false">IFERROR(INDEX(Clients!$B$5:$B$44,5),"")</f>
        <v>0</v>
      </c>
      <c r="J52" s="2" t="str">
        <f aca="false">IF($I52="","",SUMPRODUCT(('Fragrance Projects'!$C$5:$C$64=$I52)*('Fragrance Projects'!$J$5:$J$64&lt;&gt;"Completed")*('Fragrance Projects'!$J$5:$J$64&lt;&gt;"On Hold")))</f>
        <v/>
      </c>
    </row>
    <row r="53" customFormat="false" ht="13.5" hidden="false" customHeight="true" outlineLevel="0" collapsed="false">
      <c r="A53" s="2" t="str">
        <f aca="true">TEXT(DATE(YEAR(EDATE(TODAY(),-2)),MONTH(EDATE(TODAY(),-2)),1),"mmm yy")</f>
        <v>Jun 26</v>
      </c>
      <c r="B53" s="23" t="n">
        <f aca="true">SUMIFS(Payments!$G$5:$G$64,Payments!$H$5:$H$64,"&gt;="&amp;DATE(YEAR(EDATE(TODAY(),-2)),MONTH(EDATE(TODAY(),-2)),1),Payments!$H$5:$H$64,"&lt;="&amp;EDATE(DATE(YEAR(EDATE(TODAY(),-2)),MONTH(EDATE(TODAY(),-2)),1),1)-1)+SUMIFS(Payments!$K$5:$K$64,Payments!$J$5:$J$64,"&gt;="&amp;DATE(YEAR(EDATE(TODAY(),-2)),MONTH(EDATE(TODAY(),-2)),1),Payments!$J$5:$J$64,"&lt;="&amp;EDATE(DATE(YEAR(EDATE(TODAY(),-2)),MONTH(EDATE(TODAY(),-2)),1),1)-1)</f>
        <v>0</v>
      </c>
      <c r="C53" s="23" t="n">
        <f aca="true">SUMIFS('Expense Log'!$J$5:$J$154,'Expense Log'!$A$5:$A$154,"&gt;="&amp;DATE(YEAR(EDATE(TODAY(),-2)),MONTH(EDATE(TODAY(),-2)),1),'Expense Log'!$A$5:$A$154,"&lt;="&amp;EDATE(DATE(YEAR(EDATE(TODAY(),-2)),MONTH(EDATE(TODAY(),-2)),1),1)-1)</f>
        <v>0</v>
      </c>
      <c r="D53" s="23" t="n">
        <f aca="false">B53-C53</f>
        <v>0</v>
      </c>
      <c r="F53" s="2" t="s">
        <v>116</v>
      </c>
      <c r="G53" s="2" t="n">
        <f aca="false">COUNTIF('Fragrance Projects'!$H$5:$H$64,"Evaluation")</f>
        <v>0</v>
      </c>
      <c r="I53" s="2" t="n">
        <f aca="false">IFERROR(INDEX(Clients!$B$5:$B$44,6),"")</f>
        <v>0</v>
      </c>
      <c r="J53" s="2" t="str">
        <f aca="false">IF($I53="","",SUMPRODUCT(('Fragrance Projects'!$C$5:$C$64=$I53)*('Fragrance Projects'!$J$5:$J$64&lt;&gt;"Completed")*('Fragrance Projects'!$J$5:$J$64&lt;&gt;"On Hold")))</f>
        <v/>
      </c>
    </row>
    <row r="54" customFormat="false" ht="13.5" hidden="false" customHeight="true" outlineLevel="0" collapsed="false">
      <c r="A54" s="2" t="str">
        <f aca="true">TEXT(DATE(YEAR(EDATE(TODAY(),-1)),MONTH(EDATE(TODAY(),-1)),1),"mmm yy")</f>
        <v>Jul 26</v>
      </c>
      <c r="B54" s="23" t="n">
        <f aca="true">SUMIFS(Payments!$G$5:$G$64,Payments!$H$5:$H$64,"&gt;="&amp;DATE(YEAR(EDATE(TODAY(),-1)),MONTH(EDATE(TODAY(),-1)),1),Payments!$H$5:$H$64,"&lt;="&amp;EDATE(DATE(YEAR(EDATE(TODAY(),-1)),MONTH(EDATE(TODAY(),-1)),1),1)-1)+SUMIFS(Payments!$K$5:$K$64,Payments!$J$5:$J$64,"&gt;="&amp;DATE(YEAR(EDATE(TODAY(),-1)),MONTH(EDATE(TODAY(),-1)),1),Payments!$J$5:$J$64,"&lt;="&amp;EDATE(DATE(YEAR(EDATE(TODAY(),-1)),MONTH(EDATE(TODAY(),-1)),1),1)-1)</f>
        <v>0</v>
      </c>
      <c r="C54" s="23" t="n">
        <f aca="true">SUMIFS('Expense Log'!$J$5:$J$154,'Expense Log'!$A$5:$A$154,"&gt;="&amp;DATE(YEAR(EDATE(TODAY(),-1)),MONTH(EDATE(TODAY(),-1)),1),'Expense Log'!$A$5:$A$154,"&lt;="&amp;EDATE(DATE(YEAR(EDATE(TODAY(),-1)),MONTH(EDATE(TODAY(),-1)),1),1)-1)</f>
        <v>0</v>
      </c>
      <c r="D54" s="23" t="n">
        <f aca="false">B54-C54</f>
        <v>0</v>
      </c>
      <c r="F54" s="2" t="s">
        <v>120</v>
      </c>
      <c r="G54" s="2" t="n">
        <f aca="false">COUNTIF('Fragrance Projects'!$H$5:$H$64,"Sample Sent")</f>
        <v>0</v>
      </c>
      <c r="I54" s="2" t="n">
        <f aca="false">IFERROR(INDEX(Clients!$B$5:$B$44,7),"")</f>
        <v>0</v>
      </c>
      <c r="J54" s="2" t="str">
        <f aca="false">IF($I54="","",SUMPRODUCT(('Fragrance Projects'!$C$5:$C$64=$I54)*('Fragrance Projects'!$J$5:$J$64&lt;&gt;"Completed")*('Fragrance Projects'!$J$5:$J$64&lt;&gt;"On Hold")))</f>
        <v/>
      </c>
    </row>
    <row r="55" customFormat="false" ht="13.5" hidden="false" customHeight="true" outlineLevel="0" collapsed="false">
      <c r="A55" s="2" t="str">
        <f aca="true">TEXT(DATE(YEAR(EDATE(TODAY(),0)),MONTH(EDATE(TODAY(),0)),1),"mmm yy")</f>
        <v>Aug 26</v>
      </c>
      <c r="B55" s="23" t="n">
        <f aca="true">SUMIFS(Payments!$G$5:$G$64,Payments!$H$5:$H$64,"&gt;="&amp;DATE(YEAR(EDATE(TODAY(),0)),MONTH(EDATE(TODAY(),0)),1),Payments!$H$5:$H$64,"&lt;="&amp;EDATE(DATE(YEAR(EDATE(TODAY(),0)),MONTH(EDATE(TODAY(),0)),1),1)-1)+SUMIFS(Payments!$K$5:$K$64,Payments!$J$5:$J$64,"&gt;="&amp;DATE(YEAR(EDATE(TODAY(),0)),MONTH(EDATE(TODAY(),0)),1),Payments!$J$5:$J$64,"&lt;="&amp;EDATE(DATE(YEAR(EDATE(TODAY(),0)),MONTH(EDATE(TODAY(),0)),1),1)-1)</f>
        <v>0</v>
      </c>
      <c r="C55" s="23" t="n">
        <f aca="true">SUMIFS('Expense Log'!$J$5:$J$154,'Expense Log'!$A$5:$A$154,"&gt;="&amp;DATE(YEAR(EDATE(TODAY(),0)),MONTH(EDATE(TODAY(),0)),1),'Expense Log'!$A$5:$A$154,"&lt;="&amp;EDATE(DATE(YEAR(EDATE(TODAY(),0)),MONTH(EDATE(TODAY(),0)),1),1)-1)</f>
        <v>0</v>
      </c>
      <c r="D55" s="23" t="n">
        <f aca="false">B55-C55</f>
        <v>0</v>
      </c>
      <c r="F55" s="2" t="s">
        <v>123</v>
      </c>
      <c r="G55" s="2" t="n">
        <f aca="false">COUNTIF('Fragrance Projects'!$H$5:$H$64,"Awaiting Feedback")</f>
        <v>0</v>
      </c>
      <c r="I55" s="2" t="n">
        <f aca="false">IFERROR(INDEX(Clients!$B$5:$B$44,8),"")</f>
        <v>0</v>
      </c>
      <c r="J55" s="2" t="str">
        <f aca="false">IF($I55="","",SUMPRODUCT(('Fragrance Projects'!$C$5:$C$64=$I55)*('Fragrance Projects'!$J$5:$J$64&lt;&gt;"Completed")*('Fragrance Projects'!$J$5:$J$64&lt;&gt;"On Hold")))</f>
        <v/>
      </c>
    </row>
    <row r="56" customFormat="false" ht="13.5" hidden="false" customHeight="true" outlineLevel="0" collapsed="false">
      <c r="A56" s="24" t="s">
        <v>173</v>
      </c>
      <c r="F56" s="2" t="s">
        <v>126</v>
      </c>
      <c r="G56" s="2" t="n">
        <f aca="false">COUNTIF('Fragrance Projects'!$H$5:$H$64,"Reformulation")</f>
        <v>0</v>
      </c>
      <c r="I56" s="2" t="n">
        <f aca="false">IFERROR(INDEX(Clients!$B$5:$B$44,9),"")</f>
        <v>0</v>
      </c>
      <c r="J56" s="2" t="str">
        <f aca="false">IF($I56="","",SUMPRODUCT(('Fragrance Projects'!$C$5:$C$64=$I56)*('Fragrance Projects'!$J$5:$J$64&lt;&gt;"Completed")*('Fragrance Projects'!$J$5:$J$64&lt;&gt;"On Hold")))</f>
        <v/>
      </c>
    </row>
    <row r="57" customFormat="false" ht="13.5" hidden="false" customHeight="true" outlineLevel="0" collapsed="false">
      <c r="F57" s="2" t="s">
        <v>129</v>
      </c>
      <c r="G57" s="2" t="n">
        <f aca="false">COUNTIF('Fragrance Projects'!$H$5:$H$64,"Approved")</f>
        <v>0</v>
      </c>
      <c r="I57" s="2" t="n">
        <f aca="false">IFERROR(INDEX(Clients!$B$5:$B$44,10),"")</f>
        <v>0</v>
      </c>
      <c r="J57" s="2" t="str">
        <f aca="false">IF($I57="","",SUMPRODUCT(('Fragrance Projects'!$C$5:$C$64=$I57)*('Fragrance Projects'!$J$5:$J$64&lt;&gt;"Completed")*('Fragrance Projects'!$J$5:$J$64&lt;&gt;"On Hold")))</f>
        <v/>
      </c>
    </row>
    <row r="58" customFormat="false" ht="13.5" hidden="false" customHeight="true" outlineLevel="0" collapsed="false">
      <c r="F58" s="2" t="s">
        <v>125</v>
      </c>
      <c r="G58" s="2" t="n">
        <f aca="false">COUNTIF('Fragrance Projects'!$H$5:$H$64,"Documentation")</f>
        <v>0</v>
      </c>
    </row>
    <row r="59" customFormat="false" ht="13.5" hidden="false" customHeight="true" outlineLevel="0" collapsed="false">
      <c r="F59" s="2" t="s">
        <v>133</v>
      </c>
      <c r="G59" s="2" t="n">
        <f aca="false">COUNTIF('Fragrance Projects'!$H$5:$H$64,"Production")</f>
        <v>0</v>
      </c>
    </row>
    <row r="60" customFormat="false" ht="13.5" hidden="false" customHeight="true" outlineLevel="0" collapsed="false">
      <c r="F60" s="2" t="s">
        <v>134</v>
      </c>
      <c r="G60" s="2" t="n">
        <f aca="false">COUNTIF('Fragrance Projects'!$H$5:$H$64,"Complete")</f>
        <v>0</v>
      </c>
    </row>
    <row r="61" customFormat="false" ht="13.5" hidden="false" customHeight="true" outlineLevel="0" collapsed="false">
      <c r="F61" s="2" t="s">
        <v>113</v>
      </c>
      <c r="G61" s="2" t="n">
        <f aca="false">COUNTIF('Fragrance Projects'!$H$5:$H$64,"On Hold")</f>
        <v>0</v>
      </c>
    </row>
    <row r="62" customFormat="false" ht="13.5" hidden="false" customHeight="true" outlineLevel="0" collapsed="false"/>
  </sheetData>
  <sheetProtection sheet="true" formatCells="false"/>
  <mergeCells count="36">
    <mergeCell ref="A1:T1"/>
    <mergeCell ref="A2:T2"/>
    <mergeCell ref="A4:T4"/>
    <mergeCell ref="B6:D6"/>
    <mergeCell ref="F6:H6"/>
    <mergeCell ref="J6:L6"/>
    <mergeCell ref="N6:P6"/>
    <mergeCell ref="R6:T6"/>
    <mergeCell ref="B7:D8"/>
    <mergeCell ref="F7:H8"/>
    <mergeCell ref="J7:L8"/>
    <mergeCell ref="N7:P8"/>
    <mergeCell ref="R7:T8"/>
    <mergeCell ref="B11:D11"/>
    <mergeCell ref="F11:H11"/>
    <mergeCell ref="J11:L11"/>
    <mergeCell ref="N11:P11"/>
    <mergeCell ref="R11:T11"/>
    <mergeCell ref="B12:D13"/>
    <mergeCell ref="F12:H13"/>
    <mergeCell ref="J12:L13"/>
    <mergeCell ref="N12:P13"/>
    <mergeCell ref="R12:T13"/>
    <mergeCell ref="B16:D16"/>
    <mergeCell ref="F16:H16"/>
    <mergeCell ref="J16:L16"/>
    <mergeCell ref="N16:P16"/>
    <mergeCell ref="R16:T16"/>
    <mergeCell ref="B17:D18"/>
    <mergeCell ref="F17:H18"/>
    <mergeCell ref="J17:L18"/>
    <mergeCell ref="N17:P18"/>
    <mergeCell ref="R17:T18"/>
    <mergeCell ref="A21:T21"/>
    <mergeCell ref="A34:T34"/>
    <mergeCell ref="A45:T45"/>
  </mergeCells>
  <conditionalFormatting sqref="B12">
    <cfRule type="cellIs" priority="2" operator="greaterThan" aboveAverage="0" equalAverage="0" bottom="0" percent="0" rank="0" text="" dxfId="0">
      <formula>0</formula>
    </cfRule>
  </conditionalFormatting>
  <conditionalFormatting sqref="R7">
    <cfRule type="cellIs" priority="3" operator="greaterThan" aboveAverage="0" equalAverage="0" bottom="0" percent="0" rank="0" text="" dxfId="1">
      <formula>0</formula>
    </cfRule>
  </conditionalFormatting>
  <conditionalFormatting sqref="N12">
    <cfRule type="cellIs" priority="4" operator="greaterThan" aboveAverage="0" equalAverage="0" bottom="0" percent="0" rank="0" text="" dxfId="1">
      <formula>0</formula>
    </cfRule>
  </conditionalFormatting>
  <conditionalFormatting sqref="F17">
    <cfRule type="cellIs" priority="5" operator="lessThan" aboveAverage="0" equalAverage="0" bottom="0" percent="0" rank="0" text="" dxfId="0">
      <formula>0.2</formula>
    </cfRule>
  </conditionalFormatting>
  <conditionalFormatting sqref="D23:D32">
    <cfRule type="cellIs" priority="6" operator="lessThan" aboveAverage="0" equalAverage="0" bottom="0" percent="0" rank="0" text="" dxfId="2">
      <formula>0</formula>
    </cfRule>
    <cfRule type="expression" priority="7" aboveAverage="0" equalAverage="0" bottom="0" percent="0" rank="0" text="" dxfId="3">
      <formula>AND(D23&gt;=0,D23&lt;=7,D23&lt;&gt;"")</formula>
    </cfRule>
  </conditionalFormatting>
  <conditionalFormatting sqref="G23:G32">
    <cfRule type="expression" priority="8" aboveAverage="0" equalAverage="0" bottom="0" percent="0" rank="0" text="" dxfId="4">
      <formula>LEFT(G23,7)="Overdue"</formula>
    </cfRule>
  </conditionalFormatting>
  <conditionalFormatting sqref="D36:D43">
    <cfRule type="cellIs" priority="9" operator="lessThan" aboveAverage="0" equalAverage="0" bottom="0" percent="0" rank="0" text="" dxfId="2">
      <formula>0</formula>
    </cfRule>
    <cfRule type="expression" priority="10" aboveAverage="0" equalAverage="0" bottom="0" percent="0" rank="0" text="" dxfId="3">
      <formula>AND(D36&gt;=0,D36&lt;=7,D36&lt;&gt;"")</formula>
    </cfRule>
    <cfRule type="expression" priority="11" aboveAverage="0" equalAverage="0" bottom="0" percent="0" rank="0" text="" dxfId="5">
      <formula>AND(D36&gt;7,D36&lt;&gt;"")</formula>
    </cfRule>
  </conditionalFormatting>
  <conditionalFormatting sqref="E36:E43">
    <cfRule type="expression" priority="12" aboveAverage="0" equalAverage="0" bottom="0" percent="0" rank="0" text="" dxfId="6">
      <formula>E36="Awaiting Feedback"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9"/>
    <col collapsed="false" customWidth="true" hidden="false" outlineLevel="0" max="3" min="3" style="3" width="16"/>
    <col collapsed="false" customWidth="true" hidden="false" outlineLevel="0" max="4" min="4" style="3" width="22"/>
    <col collapsed="false" customWidth="true" hidden="false" outlineLevel="0" max="5" min="5" style="3" width="15"/>
    <col collapsed="false" customWidth="true" hidden="false" outlineLevel="0" max="8" min="6" style="3" width="12"/>
    <col collapsed="false" customWidth="true" hidden="false" outlineLevel="0" max="9" min="9" style="3" width="13"/>
    <col collapsed="false" customWidth="true" hidden="false" outlineLevel="0" max="10" min="10" style="3" width="15"/>
    <col collapsed="false" customWidth="true" hidden="false" outlineLevel="0" max="11" min="11" style="3" width="9"/>
    <col collapsed="false" customWidth="true" hidden="false" outlineLevel="0" max="12" min="12" style="3" width="19"/>
    <col collapsed="false" customWidth="true" hidden="false" outlineLevel="0" max="13" min="13" style="3" width="11"/>
    <col collapsed="false" customWidth="true" hidden="false" outlineLevel="0" max="14" min="14" style="3" width="12"/>
    <col collapsed="false" customWidth="true" hidden="false" outlineLevel="0" max="15" min="15" style="3" width="11"/>
    <col collapsed="false" customWidth="true" hidden="false" outlineLevel="0" max="17" min="16" style="3" width="13"/>
    <col collapsed="false" customWidth="true" hidden="false" outlineLevel="0" max="18" min="18" style="3" width="11"/>
    <col collapsed="false" customWidth="true" hidden="false" outlineLevel="0" max="19" min="19" style="3" width="8"/>
    <col collapsed="false" customWidth="true" hidden="false" outlineLevel="0" max="20" min="20" style="3" width="16"/>
    <col collapsed="false" customWidth="true" hidden="false" outlineLevel="0" max="21" min="21" style="3" width="11"/>
    <col collapsed="false" customWidth="true" hidden="false" outlineLevel="0" max="22" min="22" style="3" width="14"/>
    <col collapsed="false" customWidth="true" hidden="false" outlineLevel="0" max="23" min="23" style="3" width="34"/>
  </cols>
  <sheetData>
    <row r="1" customFormat="false" ht="33.75" hidden="false" customHeight="true" outlineLevel="0" collapsed="false">
      <c r="A1" s="4" t="s">
        <v>174</v>
      </c>
      <c r="B1" s="4"/>
      <c r="C1" s="4"/>
      <c r="D1" s="4"/>
      <c r="E1" s="4"/>
      <c r="F1" s="4"/>
      <c r="G1" s="4"/>
      <c r="H1" s="4"/>
      <c r="I1" s="4"/>
      <c r="J1" s="4"/>
      <c r="K1" s="4"/>
      <c r="L1" s="4"/>
      <c r="M1" s="4"/>
      <c r="N1" s="4"/>
      <c r="O1" s="4"/>
      <c r="P1" s="4"/>
      <c r="Q1" s="4"/>
      <c r="R1" s="4"/>
      <c r="S1" s="4"/>
      <c r="T1" s="4"/>
      <c r="U1" s="4"/>
      <c r="V1" s="4"/>
      <c r="W1" s="4"/>
    </row>
    <row r="2" customFormat="false" ht="19.5" hidden="false" customHeight="true" outlineLevel="0" collapsed="false">
      <c r="A2" s="25" t="s">
        <v>175</v>
      </c>
      <c r="B2" s="25"/>
      <c r="C2" s="25"/>
      <c r="D2" s="25"/>
      <c r="E2" s="25"/>
      <c r="F2" s="25"/>
      <c r="G2" s="25"/>
      <c r="H2" s="25"/>
      <c r="I2" s="25"/>
      <c r="J2" s="25"/>
      <c r="K2" s="25"/>
      <c r="L2" s="25"/>
      <c r="M2" s="25"/>
      <c r="N2" s="25"/>
      <c r="O2" s="25"/>
      <c r="P2" s="25"/>
      <c r="Q2" s="25"/>
      <c r="R2" s="25"/>
      <c r="S2" s="25"/>
      <c r="T2" s="25"/>
      <c r="U2" s="25"/>
      <c r="V2" s="25"/>
      <c r="W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179</v>
      </c>
      <c r="B4" s="17" t="s">
        <v>180</v>
      </c>
      <c r="C4" s="17" t="s">
        <v>181</v>
      </c>
      <c r="D4" s="17" t="s">
        <v>182</v>
      </c>
      <c r="E4" s="17" t="s">
        <v>183</v>
      </c>
      <c r="F4" s="17" t="s">
        <v>184</v>
      </c>
      <c r="G4" s="17" t="s">
        <v>185</v>
      </c>
      <c r="H4" s="17" t="s">
        <v>186</v>
      </c>
      <c r="I4" s="17" t="s">
        <v>187</v>
      </c>
      <c r="J4" s="17" t="s">
        <v>188</v>
      </c>
      <c r="K4" s="17" t="s">
        <v>189</v>
      </c>
      <c r="L4" s="17" t="s">
        <v>190</v>
      </c>
      <c r="M4" s="17" t="s">
        <v>191</v>
      </c>
      <c r="N4" s="17" t="s">
        <v>192</v>
      </c>
      <c r="O4" s="17" t="s">
        <v>193</v>
      </c>
      <c r="P4" s="17" t="s">
        <v>194</v>
      </c>
      <c r="Q4" s="17" t="s">
        <v>195</v>
      </c>
      <c r="R4" s="17" t="s">
        <v>196</v>
      </c>
      <c r="S4" s="17" t="s">
        <v>197</v>
      </c>
      <c r="T4" s="17" t="s">
        <v>198</v>
      </c>
      <c r="U4" s="17" t="s">
        <v>199</v>
      </c>
      <c r="V4" s="17" t="s">
        <v>200</v>
      </c>
      <c r="W4" s="17" t="s">
        <v>201</v>
      </c>
    </row>
    <row r="5" customFormat="false" ht="25.5" hidden="false" customHeight="true" outlineLevel="0" collapsed="false">
      <c r="A5" s="30"/>
      <c r="B5" s="30"/>
      <c r="C5" s="30"/>
      <c r="D5" s="30"/>
      <c r="E5" s="30"/>
      <c r="F5" s="30"/>
      <c r="G5" s="31"/>
      <c r="H5" s="31"/>
      <c r="I5" s="30"/>
      <c r="J5" s="30"/>
      <c r="K5" s="30"/>
      <c r="L5" s="30"/>
      <c r="M5" s="32"/>
      <c r="N5" s="32"/>
      <c r="O5" s="32"/>
      <c r="P5" s="33" t="str">
        <f aca="false">IF($M5="","",$M5-$O5)</f>
        <v/>
      </c>
      <c r="Q5" s="20" t="str">
        <f aca="false">IF($A5="","",_xlfn.IFS($M5=0,"Not Invoiced",$O5=0,"Awaiting Deposit",$P5&lt;=0,"Paid",TRUE(),"Part Paid"))</f>
        <v/>
      </c>
      <c r="R5" s="30"/>
      <c r="S5" s="30"/>
      <c r="T5" s="30"/>
      <c r="U5" s="30"/>
      <c r="V5" s="30"/>
      <c r="W5" s="34"/>
    </row>
    <row r="6" customFormat="false" ht="25.5" hidden="false" customHeight="true" outlineLevel="0" collapsed="false">
      <c r="A6" s="30"/>
      <c r="B6" s="30"/>
      <c r="C6" s="30"/>
      <c r="D6" s="30"/>
      <c r="E6" s="30"/>
      <c r="F6" s="30"/>
      <c r="G6" s="31"/>
      <c r="H6" s="31"/>
      <c r="I6" s="30"/>
      <c r="J6" s="30"/>
      <c r="K6" s="30"/>
      <c r="L6" s="30"/>
      <c r="M6" s="32"/>
      <c r="N6" s="32"/>
      <c r="O6" s="32"/>
      <c r="P6" s="33" t="str">
        <f aca="false">IF($M6="","",$M6-$O6)</f>
        <v/>
      </c>
      <c r="Q6" s="20" t="str">
        <f aca="false">IF($A6="","",_xlfn.IFS($M6=0,"Not Invoiced",$O6=0,"Awaiting Deposit",$P6&lt;=0,"Paid",TRUE(),"Part Paid"))</f>
        <v/>
      </c>
      <c r="R6" s="30"/>
      <c r="S6" s="30"/>
      <c r="T6" s="30"/>
      <c r="U6" s="30"/>
      <c r="V6" s="30"/>
      <c r="W6" s="34"/>
    </row>
    <row r="7" customFormat="false" ht="25.5" hidden="false" customHeight="true" outlineLevel="0" collapsed="false">
      <c r="A7" s="30"/>
      <c r="B7" s="30"/>
      <c r="C7" s="30"/>
      <c r="D7" s="30"/>
      <c r="E7" s="30"/>
      <c r="F7" s="30"/>
      <c r="G7" s="31"/>
      <c r="H7" s="31"/>
      <c r="I7" s="30"/>
      <c r="J7" s="30"/>
      <c r="K7" s="30"/>
      <c r="L7" s="30"/>
      <c r="M7" s="32"/>
      <c r="N7" s="32"/>
      <c r="O7" s="32"/>
      <c r="P7" s="33" t="str">
        <f aca="false">IF($M7="","",$M7-$O7)</f>
        <v/>
      </c>
      <c r="Q7" s="20" t="str">
        <f aca="false">IF($A7="","",_xlfn.IFS($M7=0,"Not Invoiced",$O7=0,"Awaiting Deposit",$P7&lt;=0,"Paid",TRUE(),"Part Paid"))</f>
        <v/>
      </c>
      <c r="R7" s="30"/>
      <c r="S7" s="30"/>
      <c r="T7" s="30"/>
      <c r="U7" s="30"/>
      <c r="V7" s="30"/>
      <c r="W7" s="34"/>
    </row>
    <row r="8" customFormat="false" ht="25.5" hidden="false" customHeight="true" outlineLevel="0" collapsed="false">
      <c r="A8" s="30"/>
      <c r="B8" s="30"/>
      <c r="C8" s="30"/>
      <c r="D8" s="30"/>
      <c r="E8" s="30"/>
      <c r="F8" s="30"/>
      <c r="G8" s="31"/>
      <c r="H8" s="31"/>
      <c r="I8" s="30"/>
      <c r="J8" s="30"/>
      <c r="K8" s="30"/>
      <c r="L8" s="30"/>
      <c r="M8" s="32"/>
      <c r="N8" s="32"/>
      <c r="O8" s="32"/>
      <c r="P8" s="33" t="str">
        <f aca="false">IF($M8="","",$M8-$O8)</f>
        <v/>
      </c>
      <c r="Q8" s="20" t="str">
        <f aca="false">IF($A8="","",_xlfn.IFS($M8=0,"Not Invoiced",$O8=0,"Awaiting Deposit",$P8&lt;=0,"Paid",TRUE(),"Part Paid"))</f>
        <v/>
      </c>
      <c r="R8" s="30"/>
      <c r="S8" s="30"/>
      <c r="T8" s="30"/>
      <c r="U8" s="30"/>
      <c r="V8" s="30"/>
      <c r="W8" s="34"/>
    </row>
    <row r="9" customFormat="false" ht="25.5" hidden="false" customHeight="true" outlineLevel="0" collapsed="false">
      <c r="A9" s="30"/>
      <c r="B9" s="30"/>
      <c r="C9" s="30"/>
      <c r="D9" s="30"/>
      <c r="E9" s="30"/>
      <c r="F9" s="30"/>
      <c r="G9" s="31"/>
      <c r="H9" s="31"/>
      <c r="I9" s="30"/>
      <c r="J9" s="30"/>
      <c r="K9" s="30"/>
      <c r="L9" s="30"/>
      <c r="M9" s="32"/>
      <c r="N9" s="32"/>
      <c r="O9" s="32"/>
      <c r="P9" s="33" t="str">
        <f aca="false">IF($M9="","",$M9-$O9)</f>
        <v/>
      </c>
      <c r="Q9" s="20" t="str">
        <f aca="false">IF($A9="","",_xlfn.IFS($M9=0,"Not Invoiced",$O9=0,"Awaiting Deposit",$P9&lt;=0,"Paid",TRUE(),"Part Paid"))</f>
        <v/>
      </c>
      <c r="R9" s="30"/>
      <c r="S9" s="30"/>
      <c r="T9" s="30"/>
      <c r="U9" s="30"/>
      <c r="V9" s="30"/>
      <c r="W9" s="34"/>
    </row>
    <row r="10" customFormat="false" ht="25.5" hidden="false" customHeight="true" outlineLevel="0" collapsed="false">
      <c r="A10" s="30"/>
      <c r="B10" s="30"/>
      <c r="C10" s="30"/>
      <c r="D10" s="30"/>
      <c r="E10" s="30"/>
      <c r="F10" s="30"/>
      <c r="G10" s="31"/>
      <c r="H10" s="31"/>
      <c r="I10" s="30"/>
      <c r="J10" s="30"/>
      <c r="K10" s="30"/>
      <c r="L10" s="30"/>
      <c r="M10" s="32"/>
      <c r="N10" s="32"/>
      <c r="O10" s="32"/>
      <c r="P10" s="33" t="str">
        <f aca="false">IF($M10="","",$M10-$O10)</f>
        <v/>
      </c>
      <c r="Q10" s="20" t="str">
        <f aca="false">IF($A10="","",_xlfn.IFS($M10=0,"Not Invoiced",$O10=0,"Awaiting Deposit",$P10&lt;=0,"Paid",TRUE(),"Part Paid"))</f>
        <v/>
      </c>
      <c r="R10" s="30"/>
      <c r="S10" s="30"/>
      <c r="T10" s="30"/>
      <c r="U10" s="30"/>
      <c r="V10" s="30"/>
      <c r="W10" s="34"/>
    </row>
    <row r="11" customFormat="false" ht="25.5" hidden="false" customHeight="true" outlineLevel="0" collapsed="false">
      <c r="A11" s="30"/>
      <c r="B11" s="30"/>
      <c r="C11" s="30"/>
      <c r="D11" s="30"/>
      <c r="E11" s="30"/>
      <c r="F11" s="30"/>
      <c r="G11" s="31"/>
      <c r="H11" s="31"/>
      <c r="I11" s="30"/>
      <c r="J11" s="30"/>
      <c r="K11" s="30"/>
      <c r="L11" s="30"/>
      <c r="M11" s="32"/>
      <c r="N11" s="32"/>
      <c r="O11" s="32"/>
      <c r="P11" s="33" t="str">
        <f aca="false">IF($M11="","",$M11-$O11)</f>
        <v/>
      </c>
      <c r="Q11" s="20" t="str">
        <f aca="false">IF($A11="","",_xlfn.IFS($M11=0,"Not Invoiced",$O11=0,"Awaiting Deposit",$P11&lt;=0,"Paid",TRUE(),"Part Paid"))</f>
        <v/>
      </c>
      <c r="R11" s="30"/>
      <c r="S11" s="30"/>
      <c r="T11" s="30"/>
      <c r="U11" s="30"/>
      <c r="V11" s="30"/>
      <c r="W11" s="34"/>
    </row>
    <row r="12" customFormat="false" ht="25.5" hidden="false" customHeight="true" outlineLevel="0" collapsed="false">
      <c r="A12" s="30"/>
      <c r="B12" s="30"/>
      <c r="C12" s="30"/>
      <c r="D12" s="30"/>
      <c r="E12" s="30"/>
      <c r="F12" s="30"/>
      <c r="G12" s="31"/>
      <c r="H12" s="31"/>
      <c r="I12" s="30"/>
      <c r="J12" s="30"/>
      <c r="K12" s="30"/>
      <c r="L12" s="30"/>
      <c r="M12" s="32"/>
      <c r="N12" s="32"/>
      <c r="O12" s="32"/>
      <c r="P12" s="33" t="str">
        <f aca="false">IF($M12="","",$M12-$O12)</f>
        <v/>
      </c>
      <c r="Q12" s="20" t="str">
        <f aca="false">IF($A12="","",_xlfn.IFS($M12=0,"Not Invoiced",$O12=0,"Awaiting Deposit",$P12&lt;=0,"Paid",TRUE(),"Part Paid"))</f>
        <v/>
      </c>
      <c r="R12" s="30"/>
      <c r="S12" s="30"/>
      <c r="T12" s="30"/>
      <c r="U12" s="30"/>
      <c r="V12" s="30"/>
      <c r="W12" s="34"/>
    </row>
    <row r="13" customFormat="false" ht="25.5" hidden="false" customHeight="true" outlineLevel="0" collapsed="false">
      <c r="A13" s="30"/>
      <c r="B13" s="30"/>
      <c r="C13" s="30"/>
      <c r="D13" s="30"/>
      <c r="E13" s="30"/>
      <c r="F13" s="30"/>
      <c r="G13" s="31"/>
      <c r="H13" s="31"/>
      <c r="I13" s="30"/>
      <c r="J13" s="30"/>
      <c r="K13" s="30"/>
      <c r="L13" s="30"/>
      <c r="M13" s="32"/>
      <c r="N13" s="32"/>
      <c r="O13" s="32"/>
      <c r="P13" s="33" t="str">
        <f aca="false">IF($M13="","",$M13-$O13)</f>
        <v/>
      </c>
      <c r="Q13" s="20" t="str">
        <f aca="false">IF($A13="","",_xlfn.IFS($M13=0,"Not Invoiced",$O13=0,"Awaiting Deposit",$P13&lt;=0,"Paid",TRUE(),"Part Paid"))</f>
        <v/>
      </c>
      <c r="R13" s="30"/>
      <c r="S13" s="30"/>
      <c r="T13" s="30"/>
      <c r="U13" s="30"/>
      <c r="V13" s="30"/>
      <c r="W13" s="34"/>
    </row>
    <row r="14" customFormat="false" ht="25.5" hidden="false" customHeight="true" outlineLevel="0" collapsed="false">
      <c r="A14" s="30"/>
      <c r="B14" s="30"/>
      <c r="C14" s="30"/>
      <c r="D14" s="30"/>
      <c r="E14" s="30"/>
      <c r="F14" s="30"/>
      <c r="G14" s="31"/>
      <c r="H14" s="31"/>
      <c r="I14" s="30"/>
      <c r="J14" s="30"/>
      <c r="K14" s="30"/>
      <c r="L14" s="30"/>
      <c r="M14" s="32"/>
      <c r="N14" s="32"/>
      <c r="O14" s="32"/>
      <c r="P14" s="33" t="str">
        <f aca="false">IF($M14="","",$M14-$O14)</f>
        <v/>
      </c>
      <c r="Q14" s="20" t="str">
        <f aca="false">IF($A14="","",_xlfn.IFS($M14=0,"Not Invoiced",$O14=0,"Awaiting Deposit",$P14&lt;=0,"Paid",TRUE(),"Part Paid"))</f>
        <v/>
      </c>
      <c r="R14" s="30"/>
      <c r="S14" s="30"/>
      <c r="T14" s="30"/>
      <c r="U14" s="30"/>
      <c r="V14" s="30"/>
      <c r="W14" s="34"/>
    </row>
    <row r="15" customFormat="false" ht="25.5" hidden="false" customHeight="true" outlineLevel="0" collapsed="false">
      <c r="A15" s="30"/>
      <c r="B15" s="30"/>
      <c r="C15" s="30"/>
      <c r="D15" s="30"/>
      <c r="E15" s="30"/>
      <c r="F15" s="30"/>
      <c r="G15" s="31"/>
      <c r="H15" s="31"/>
      <c r="I15" s="30"/>
      <c r="J15" s="30"/>
      <c r="K15" s="30"/>
      <c r="L15" s="30"/>
      <c r="M15" s="32"/>
      <c r="N15" s="32"/>
      <c r="O15" s="32"/>
      <c r="P15" s="33" t="str">
        <f aca="false">IF($M15="","",$M15-$O15)</f>
        <v/>
      </c>
      <c r="Q15" s="20" t="str">
        <f aca="false">IF($A15="","",_xlfn.IFS($M15=0,"Not Invoiced",$O15=0,"Awaiting Deposit",$P15&lt;=0,"Paid",TRUE(),"Part Paid"))</f>
        <v/>
      </c>
      <c r="R15" s="30"/>
      <c r="S15" s="30"/>
      <c r="T15" s="30"/>
      <c r="U15" s="30"/>
      <c r="V15" s="30"/>
      <c r="W15" s="34"/>
    </row>
    <row r="16" customFormat="false" ht="25.5" hidden="false" customHeight="true" outlineLevel="0" collapsed="false">
      <c r="A16" s="30"/>
      <c r="B16" s="30"/>
      <c r="C16" s="30"/>
      <c r="D16" s="30"/>
      <c r="E16" s="30"/>
      <c r="F16" s="30"/>
      <c r="G16" s="31"/>
      <c r="H16" s="31"/>
      <c r="I16" s="30"/>
      <c r="J16" s="30"/>
      <c r="K16" s="30"/>
      <c r="L16" s="30"/>
      <c r="M16" s="32"/>
      <c r="N16" s="32"/>
      <c r="O16" s="32"/>
      <c r="P16" s="33" t="str">
        <f aca="false">IF($M16="","",$M16-$O16)</f>
        <v/>
      </c>
      <c r="Q16" s="20" t="str">
        <f aca="false">IF($A16="","",_xlfn.IFS($M16=0,"Not Invoiced",$O16=0,"Awaiting Deposit",$P16&lt;=0,"Paid",TRUE(),"Part Paid"))</f>
        <v/>
      </c>
      <c r="R16" s="30"/>
      <c r="S16" s="30"/>
      <c r="T16" s="30"/>
      <c r="U16" s="30"/>
      <c r="V16" s="30"/>
      <c r="W16" s="34"/>
    </row>
    <row r="17" customFormat="false" ht="25.5" hidden="false" customHeight="true" outlineLevel="0" collapsed="false">
      <c r="A17" s="30"/>
      <c r="B17" s="30"/>
      <c r="C17" s="30"/>
      <c r="D17" s="30"/>
      <c r="E17" s="30"/>
      <c r="F17" s="30"/>
      <c r="G17" s="31"/>
      <c r="H17" s="31"/>
      <c r="I17" s="30"/>
      <c r="J17" s="30"/>
      <c r="K17" s="30"/>
      <c r="L17" s="30"/>
      <c r="M17" s="32"/>
      <c r="N17" s="32"/>
      <c r="O17" s="32"/>
      <c r="P17" s="33" t="str">
        <f aca="false">IF($M17="","",$M17-$O17)</f>
        <v/>
      </c>
      <c r="Q17" s="20" t="str">
        <f aca="false">IF($A17="","",_xlfn.IFS($M17=0,"Not Invoiced",$O17=0,"Awaiting Deposit",$P17&lt;=0,"Paid",TRUE(),"Part Paid"))</f>
        <v/>
      </c>
      <c r="R17" s="30"/>
      <c r="S17" s="30"/>
      <c r="T17" s="30"/>
      <c r="U17" s="30"/>
      <c r="V17" s="30"/>
      <c r="W17" s="34"/>
    </row>
    <row r="18" customFormat="false" ht="25.5" hidden="false" customHeight="true" outlineLevel="0" collapsed="false">
      <c r="A18" s="30"/>
      <c r="B18" s="30"/>
      <c r="C18" s="30"/>
      <c r="D18" s="30"/>
      <c r="E18" s="30"/>
      <c r="F18" s="30"/>
      <c r="G18" s="31"/>
      <c r="H18" s="31"/>
      <c r="I18" s="30"/>
      <c r="J18" s="30"/>
      <c r="K18" s="30"/>
      <c r="L18" s="30"/>
      <c r="M18" s="32"/>
      <c r="N18" s="32"/>
      <c r="O18" s="32"/>
      <c r="P18" s="33" t="str">
        <f aca="false">IF($M18="","",$M18-$O18)</f>
        <v/>
      </c>
      <c r="Q18" s="20" t="str">
        <f aca="false">IF($A18="","",_xlfn.IFS($M18=0,"Not Invoiced",$O18=0,"Awaiting Deposit",$P18&lt;=0,"Paid",TRUE(),"Part Paid"))</f>
        <v/>
      </c>
      <c r="R18" s="30"/>
      <c r="S18" s="30"/>
      <c r="T18" s="30"/>
      <c r="U18" s="30"/>
      <c r="V18" s="30"/>
      <c r="W18" s="34"/>
    </row>
    <row r="19" customFormat="false" ht="25.5" hidden="false" customHeight="true" outlineLevel="0" collapsed="false">
      <c r="A19" s="30"/>
      <c r="B19" s="30"/>
      <c r="C19" s="30"/>
      <c r="D19" s="30"/>
      <c r="E19" s="30"/>
      <c r="F19" s="30"/>
      <c r="G19" s="31"/>
      <c r="H19" s="31"/>
      <c r="I19" s="30"/>
      <c r="J19" s="30"/>
      <c r="K19" s="30"/>
      <c r="L19" s="30"/>
      <c r="M19" s="32"/>
      <c r="N19" s="32"/>
      <c r="O19" s="32"/>
      <c r="P19" s="33" t="str">
        <f aca="false">IF($M19="","",$M19-$O19)</f>
        <v/>
      </c>
      <c r="Q19" s="20" t="str">
        <f aca="false">IF($A19="","",_xlfn.IFS($M19=0,"Not Invoiced",$O19=0,"Awaiting Deposit",$P19&lt;=0,"Paid",TRUE(),"Part Paid"))</f>
        <v/>
      </c>
      <c r="R19" s="30"/>
      <c r="S19" s="30"/>
      <c r="T19" s="30"/>
      <c r="U19" s="30"/>
      <c r="V19" s="30"/>
      <c r="W19" s="34"/>
    </row>
    <row r="20" customFormat="false" ht="25.5" hidden="false" customHeight="true" outlineLevel="0" collapsed="false">
      <c r="A20" s="30"/>
      <c r="B20" s="30"/>
      <c r="C20" s="30"/>
      <c r="D20" s="30"/>
      <c r="E20" s="30"/>
      <c r="F20" s="30"/>
      <c r="G20" s="31"/>
      <c r="H20" s="31"/>
      <c r="I20" s="30"/>
      <c r="J20" s="30"/>
      <c r="K20" s="30"/>
      <c r="L20" s="30"/>
      <c r="M20" s="32"/>
      <c r="N20" s="32"/>
      <c r="O20" s="32"/>
      <c r="P20" s="33" t="str">
        <f aca="false">IF($M20="","",$M20-$O20)</f>
        <v/>
      </c>
      <c r="Q20" s="20" t="str">
        <f aca="false">IF($A20="","",_xlfn.IFS($M20=0,"Not Invoiced",$O20=0,"Awaiting Deposit",$P20&lt;=0,"Paid",TRUE(),"Part Paid"))</f>
        <v/>
      </c>
      <c r="R20" s="30"/>
      <c r="S20" s="30"/>
      <c r="T20" s="30"/>
      <c r="U20" s="30"/>
      <c r="V20" s="30"/>
      <c r="W20" s="34"/>
    </row>
    <row r="21" customFormat="false" ht="25.5" hidden="false" customHeight="true" outlineLevel="0" collapsed="false">
      <c r="A21" s="30"/>
      <c r="B21" s="30"/>
      <c r="C21" s="30"/>
      <c r="D21" s="30"/>
      <c r="E21" s="30"/>
      <c r="F21" s="30"/>
      <c r="G21" s="31"/>
      <c r="H21" s="31"/>
      <c r="I21" s="30"/>
      <c r="J21" s="30"/>
      <c r="K21" s="30"/>
      <c r="L21" s="30"/>
      <c r="M21" s="32"/>
      <c r="N21" s="32"/>
      <c r="O21" s="32"/>
      <c r="P21" s="33" t="str">
        <f aca="false">IF($M21="","",$M21-$O21)</f>
        <v/>
      </c>
      <c r="Q21" s="20" t="str">
        <f aca="false">IF($A21="","",_xlfn.IFS($M21=0,"Not Invoiced",$O21=0,"Awaiting Deposit",$P21&lt;=0,"Paid",TRUE(),"Part Paid"))</f>
        <v/>
      </c>
      <c r="R21" s="30"/>
      <c r="S21" s="30"/>
      <c r="T21" s="30"/>
      <c r="U21" s="30"/>
      <c r="V21" s="30"/>
      <c r="W21" s="34"/>
    </row>
    <row r="22" customFormat="false" ht="25.5" hidden="false" customHeight="true" outlineLevel="0" collapsed="false">
      <c r="A22" s="30"/>
      <c r="B22" s="30"/>
      <c r="C22" s="30"/>
      <c r="D22" s="30"/>
      <c r="E22" s="30"/>
      <c r="F22" s="30"/>
      <c r="G22" s="31"/>
      <c r="H22" s="31"/>
      <c r="I22" s="30"/>
      <c r="J22" s="30"/>
      <c r="K22" s="30"/>
      <c r="L22" s="30"/>
      <c r="M22" s="32"/>
      <c r="N22" s="32"/>
      <c r="O22" s="32"/>
      <c r="P22" s="33" t="str">
        <f aca="false">IF($M22="","",$M22-$O22)</f>
        <v/>
      </c>
      <c r="Q22" s="20" t="str">
        <f aca="false">IF($A22="","",_xlfn.IFS($M22=0,"Not Invoiced",$O22=0,"Awaiting Deposit",$P22&lt;=0,"Paid",TRUE(),"Part Paid"))</f>
        <v/>
      </c>
      <c r="R22" s="30"/>
      <c r="S22" s="30"/>
      <c r="T22" s="30"/>
      <c r="U22" s="30"/>
      <c r="V22" s="30"/>
      <c r="W22" s="34"/>
    </row>
    <row r="23" customFormat="false" ht="25.5" hidden="false" customHeight="true" outlineLevel="0" collapsed="false">
      <c r="A23" s="30"/>
      <c r="B23" s="30"/>
      <c r="C23" s="30"/>
      <c r="D23" s="30"/>
      <c r="E23" s="30"/>
      <c r="F23" s="30"/>
      <c r="G23" s="31"/>
      <c r="H23" s="31"/>
      <c r="I23" s="30"/>
      <c r="J23" s="30"/>
      <c r="K23" s="30"/>
      <c r="L23" s="30"/>
      <c r="M23" s="32"/>
      <c r="N23" s="32"/>
      <c r="O23" s="32"/>
      <c r="P23" s="33" t="str">
        <f aca="false">IF($M23="","",$M23-$O23)</f>
        <v/>
      </c>
      <c r="Q23" s="20" t="str">
        <f aca="false">IF($A23="","",_xlfn.IFS($M23=0,"Not Invoiced",$O23=0,"Awaiting Deposit",$P23&lt;=0,"Paid",TRUE(),"Part Paid"))</f>
        <v/>
      </c>
      <c r="R23" s="30"/>
      <c r="S23" s="30"/>
      <c r="T23" s="30"/>
      <c r="U23" s="30"/>
      <c r="V23" s="30"/>
      <c r="W23" s="34"/>
    </row>
    <row r="24" customFormat="false" ht="25.5" hidden="false" customHeight="true" outlineLevel="0" collapsed="false">
      <c r="A24" s="30"/>
      <c r="B24" s="30"/>
      <c r="C24" s="30"/>
      <c r="D24" s="30"/>
      <c r="E24" s="30"/>
      <c r="F24" s="30"/>
      <c r="G24" s="31"/>
      <c r="H24" s="31"/>
      <c r="I24" s="30"/>
      <c r="J24" s="30"/>
      <c r="K24" s="30"/>
      <c r="L24" s="30"/>
      <c r="M24" s="32"/>
      <c r="N24" s="32"/>
      <c r="O24" s="32"/>
      <c r="P24" s="33" t="str">
        <f aca="false">IF($M24="","",$M24-$O24)</f>
        <v/>
      </c>
      <c r="Q24" s="20" t="str">
        <f aca="false">IF($A24="","",_xlfn.IFS($M24=0,"Not Invoiced",$O24=0,"Awaiting Deposit",$P24&lt;=0,"Paid",TRUE(),"Part Paid"))</f>
        <v/>
      </c>
      <c r="R24" s="30"/>
      <c r="S24" s="30"/>
      <c r="T24" s="30"/>
      <c r="U24" s="30"/>
      <c r="V24" s="30"/>
      <c r="W24" s="34"/>
    </row>
    <row r="25" customFormat="false" ht="25.5" hidden="false" customHeight="true" outlineLevel="0" collapsed="false">
      <c r="A25" s="30"/>
      <c r="B25" s="30"/>
      <c r="C25" s="30"/>
      <c r="D25" s="30"/>
      <c r="E25" s="30"/>
      <c r="F25" s="30"/>
      <c r="G25" s="31"/>
      <c r="H25" s="31"/>
      <c r="I25" s="30"/>
      <c r="J25" s="30"/>
      <c r="K25" s="30"/>
      <c r="L25" s="30"/>
      <c r="M25" s="32"/>
      <c r="N25" s="32"/>
      <c r="O25" s="32"/>
      <c r="P25" s="33" t="str">
        <f aca="false">IF($M25="","",$M25-$O25)</f>
        <v/>
      </c>
      <c r="Q25" s="20" t="str">
        <f aca="false">IF($A25="","",_xlfn.IFS($M25=0,"Not Invoiced",$O25=0,"Awaiting Deposit",$P25&lt;=0,"Paid",TRUE(),"Part Paid"))</f>
        <v/>
      </c>
      <c r="R25" s="30"/>
      <c r="S25" s="30"/>
      <c r="T25" s="30"/>
      <c r="U25" s="30"/>
      <c r="V25" s="30"/>
      <c r="W25" s="34"/>
    </row>
    <row r="26" customFormat="false" ht="25.5" hidden="false" customHeight="true" outlineLevel="0" collapsed="false">
      <c r="A26" s="30"/>
      <c r="B26" s="30"/>
      <c r="C26" s="30"/>
      <c r="D26" s="30"/>
      <c r="E26" s="30"/>
      <c r="F26" s="30"/>
      <c r="G26" s="31"/>
      <c r="H26" s="31"/>
      <c r="I26" s="30"/>
      <c r="J26" s="30"/>
      <c r="K26" s="30"/>
      <c r="L26" s="30"/>
      <c r="M26" s="32"/>
      <c r="N26" s="32"/>
      <c r="O26" s="32"/>
      <c r="P26" s="33" t="str">
        <f aca="false">IF($M26="","",$M26-$O26)</f>
        <v/>
      </c>
      <c r="Q26" s="20" t="str">
        <f aca="false">IF($A26="","",_xlfn.IFS($M26=0,"Not Invoiced",$O26=0,"Awaiting Deposit",$P26&lt;=0,"Paid",TRUE(),"Part Paid"))</f>
        <v/>
      </c>
      <c r="R26" s="30"/>
      <c r="S26" s="30"/>
      <c r="T26" s="30"/>
      <c r="U26" s="30"/>
      <c r="V26" s="30"/>
      <c r="W26" s="34"/>
    </row>
    <row r="27" customFormat="false" ht="25.5" hidden="false" customHeight="true" outlineLevel="0" collapsed="false">
      <c r="A27" s="30"/>
      <c r="B27" s="30"/>
      <c r="C27" s="30"/>
      <c r="D27" s="30"/>
      <c r="E27" s="30"/>
      <c r="F27" s="30"/>
      <c r="G27" s="31"/>
      <c r="H27" s="31"/>
      <c r="I27" s="30"/>
      <c r="J27" s="30"/>
      <c r="K27" s="30"/>
      <c r="L27" s="30"/>
      <c r="M27" s="32"/>
      <c r="N27" s="32"/>
      <c r="O27" s="32"/>
      <c r="P27" s="33" t="str">
        <f aca="false">IF($M27="","",$M27-$O27)</f>
        <v/>
      </c>
      <c r="Q27" s="20" t="str">
        <f aca="false">IF($A27="","",_xlfn.IFS($M27=0,"Not Invoiced",$O27=0,"Awaiting Deposit",$P27&lt;=0,"Paid",TRUE(),"Part Paid"))</f>
        <v/>
      </c>
      <c r="R27" s="30"/>
      <c r="S27" s="30"/>
      <c r="T27" s="30"/>
      <c r="U27" s="30"/>
      <c r="V27" s="30"/>
      <c r="W27" s="34"/>
    </row>
    <row r="28" customFormat="false" ht="25.5" hidden="false" customHeight="true" outlineLevel="0" collapsed="false">
      <c r="A28" s="30"/>
      <c r="B28" s="30"/>
      <c r="C28" s="30"/>
      <c r="D28" s="30"/>
      <c r="E28" s="30"/>
      <c r="F28" s="30"/>
      <c r="G28" s="31"/>
      <c r="H28" s="31"/>
      <c r="I28" s="30"/>
      <c r="J28" s="30"/>
      <c r="K28" s="30"/>
      <c r="L28" s="30"/>
      <c r="M28" s="32"/>
      <c r="N28" s="32"/>
      <c r="O28" s="32"/>
      <c r="P28" s="33" t="str">
        <f aca="false">IF($M28="","",$M28-$O28)</f>
        <v/>
      </c>
      <c r="Q28" s="20" t="str">
        <f aca="false">IF($A28="","",_xlfn.IFS($M28=0,"Not Invoiced",$O28=0,"Awaiting Deposit",$P28&lt;=0,"Paid",TRUE(),"Part Paid"))</f>
        <v/>
      </c>
      <c r="R28" s="30"/>
      <c r="S28" s="30"/>
      <c r="T28" s="30"/>
      <c r="U28" s="30"/>
      <c r="V28" s="30"/>
      <c r="W28" s="34"/>
    </row>
    <row r="29" customFormat="false" ht="25.5" hidden="false" customHeight="true" outlineLevel="0" collapsed="false">
      <c r="A29" s="30"/>
      <c r="B29" s="30"/>
      <c r="C29" s="30"/>
      <c r="D29" s="30"/>
      <c r="E29" s="30"/>
      <c r="F29" s="30"/>
      <c r="G29" s="31"/>
      <c r="H29" s="31"/>
      <c r="I29" s="30"/>
      <c r="J29" s="30"/>
      <c r="K29" s="30"/>
      <c r="L29" s="30"/>
      <c r="M29" s="32"/>
      <c r="N29" s="32"/>
      <c r="O29" s="32"/>
      <c r="P29" s="33" t="str">
        <f aca="false">IF($M29="","",$M29-$O29)</f>
        <v/>
      </c>
      <c r="Q29" s="20" t="str">
        <f aca="false">IF($A29="","",_xlfn.IFS($M29=0,"Not Invoiced",$O29=0,"Awaiting Deposit",$P29&lt;=0,"Paid",TRUE(),"Part Paid"))</f>
        <v/>
      </c>
      <c r="R29" s="30"/>
      <c r="S29" s="30"/>
      <c r="T29" s="30"/>
      <c r="U29" s="30"/>
      <c r="V29" s="30"/>
      <c r="W29" s="34"/>
    </row>
    <row r="30" customFormat="false" ht="25.5" hidden="false" customHeight="true" outlineLevel="0" collapsed="false">
      <c r="A30" s="30"/>
      <c r="B30" s="30"/>
      <c r="C30" s="30"/>
      <c r="D30" s="30"/>
      <c r="E30" s="30"/>
      <c r="F30" s="30"/>
      <c r="G30" s="31"/>
      <c r="H30" s="31"/>
      <c r="I30" s="30"/>
      <c r="J30" s="30"/>
      <c r="K30" s="30"/>
      <c r="L30" s="30"/>
      <c r="M30" s="32"/>
      <c r="N30" s="32"/>
      <c r="O30" s="32"/>
      <c r="P30" s="33" t="str">
        <f aca="false">IF($M30="","",$M30-$O30)</f>
        <v/>
      </c>
      <c r="Q30" s="20" t="str">
        <f aca="false">IF($A30="","",_xlfn.IFS($M30=0,"Not Invoiced",$O30=0,"Awaiting Deposit",$P30&lt;=0,"Paid",TRUE(),"Part Paid"))</f>
        <v/>
      </c>
      <c r="R30" s="30"/>
      <c r="S30" s="30"/>
      <c r="T30" s="30"/>
      <c r="U30" s="30"/>
      <c r="V30" s="30"/>
      <c r="W30" s="34"/>
    </row>
    <row r="31" customFormat="false" ht="25.5" hidden="false" customHeight="true" outlineLevel="0" collapsed="false">
      <c r="A31" s="30"/>
      <c r="B31" s="30"/>
      <c r="C31" s="30"/>
      <c r="D31" s="30"/>
      <c r="E31" s="30"/>
      <c r="F31" s="30"/>
      <c r="G31" s="31"/>
      <c r="H31" s="31"/>
      <c r="I31" s="30"/>
      <c r="J31" s="30"/>
      <c r="K31" s="30"/>
      <c r="L31" s="30"/>
      <c r="M31" s="32"/>
      <c r="N31" s="32"/>
      <c r="O31" s="32"/>
      <c r="P31" s="33" t="str">
        <f aca="false">IF($M31="","",$M31-$O31)</f>
        <v/>
      </c>
      <c r="Q31" s="20" t="str">
        <f aca="false">IF($A31="","",_xlfn.IFS($M31=0,"Not Invoiced",$O31=0,"Awaiting Deposit",$P31&lt;=0,"Paid",TRUE(),"Part Paid"))</f>
        <v/>
      </c>
      <c r="R31" s="30"/>
      <c r="S31" s="30"/>
      <c r="T31" s="30"/>
      <c r="U31" s="30"/>
      <c r="V31" s="30"/>
      <c r="W31" s="34"/>
    </row>
    <row r="32" customFormat="false" ht="25.5" hidden="false" customHeight="true" outlineLevel="0" collapsed="false">
      <c r="A32" s="30"/>
      <c r="B32" s="30"/>
      <c r="C32" s="30"/>
      <c r="D32" s="30"/>
      <c r="E32" s="30"/>
      <c r="F32" s="30"/>
      <c r="G32" s="31"/>
      <c r="H32" s="31"/>
      <c r="I32" s="30"/>
      <c r="J32" s="30"/>
      <c r="K32" s="30"/>
      <c r="L32" s="30"/>
      <c r="M32" s="32"/>
      <c r="N32" s="32"/>
      <c r="O32" s="32"/>
      <c r="P32" s="33" t="str">
        <f aca="false">IF($M32="","",$M32-$O32)</f>
        <v/>
      </c>
      <c r="Q32" s="20" t="str">
        <f aca="false">IF($A32="","",_xlfn.IFS($M32=0,"Not Invoiced",$O32=0,"Awaiting Deposit",$P32&lt;=0,"Paid",TRUE(),"Part Paid"))</f>
        <v/>
      </c>
      <c r="R32" s="30"/>
      <c r="S32" s="30"/>
      <c r="T32" s="30"/>
      <c r="U32" s="30"/>
      <c r="V32" s="30"/>
      <c r="W32" s="34"/>
    </row>
    <row r="33" customFormat="false" ht="25.5" hidden="false" customHeight="true" outlineLevel="0" collapsed="false">
      <c r="A33" s="30"/>
      <c r="B33" s="30"/>
      <c r="C33" s="30"/>
      <c r="D33" s="30"/>
      <c r="E33" s="30"/>
      <c r="F33" s="30"/>
      <c r="G33" s="31"/>
      <c r="H33" s="31"/>
      <c r="I33" s="30"/>
      <c r="J33" s="30"/>
      <c r="K33" s="30"/>
      <c r="L33" s="30"/>
      <c r="M33" s="32"/>
      <c r="N33" s="32"/>
      <c r="O33" s="32"/>
      <c r="P33" s="33" t="str">
        <f aca="false">IF($M33="","",$M33-$O33)</f>
        <v/>
      </c>
      <c r="Q33" s="20" t="str">
        <f aca="false">IF($A33="","",_xlfn.IFS($M33=0,"Not Invoiced",$O33=0,"Awaiting Deposit",$P33&lt;=0,"Paid",TRUE(),"Part Paid"))</f>
        <v/>
      </c>
      <c r="R33" s="30"/>
      <c r="S33" s="30"/>
      <c r="T33" s="30"/>
      <c r="U33" s="30"/>
      <c r="V33" s="30"/>
      <c r="W33" s="34"/>
    </row>
    <row r="34" customFormat="false" ht="25.5" hidden="false" customHeight="true" outlineLevel="0" collapsed="false">
      <c r="A34" s="30"/>
      <c r="B34" s="30"/>
      <c r="C34" s="30"/>
      <c r="D34" s="30"/>
      <c r="E34" s="30"/>
      <c r="F34" s="30"/>
      <c r="G34" s="31"/>
      <c r="H34" s="31"/>
      <c r="I34" s="30"/>
      <c r="J34" s="30"/>
      <c r="K34" s="30"/>
      <c r="L34" s="30"/>
      <c r="M34" s="32"/>
      <c r="N34" s="32"/>
      <c r="O34" s="32"/>
      <c r="P34" s="33" t="str">
        <f aca="false">IF($M34="","",$M34-$O34)</f>
        <v/>
      </c>
      <c r="Q34" s="20" t="str">
        <f aca="false">IF($A34="","",_xlfn.IFS($M34=0,"Not Invoiced",$O34=0,"Awaiting Deposit",$P34&lt;=0,"Paid",TRUE(),"Part Paid"))</f>
        <v/>
      </c>
      <c r="R34" s="30"/>
      <c r="S34" s="30"/>
      <c r="T34" s="30"/>
      <c r="U34" s="30"/>
      <c r="V34" s="30"/>
      <c r="W34" s="34"/>
    </row>
    <row r="35" customFormat="false" ht="25.5" hidden="false" customHeight="true" outlineLevel="0" collapsed="false">
      <c r="A35" s="30"/>
      <c r="B35" s="30"/>
      <c r="C35" s="30"/>
      <c r="D35" s="30"/>
      <c r="E35" s="30"/>
      <c r="F35" s="30"/>
      <c r="G35" s="31"/>
      <c r="H35" s="31"/>
      <c r="I35" s="30"/>
      <c r="J35" s="30"/>
      <c r="K35" s="30"/>
      <c r="L35" s="30"/>
      <c r="M35" s="32"/>
      <c r="N35" s="32"/>
      <c r="O35" s="32"/>
      <c r="P35" s="33" t="str">
        <f aca="false">IF($M35="","",$M35-$O35)</f>
        <v/>
      </c>
      <c r="Q35" s="20" t="str">
        <f aca="false">IF($A35="","",_xlfn.IFS($M35=0,"Not Invoiced",$O35=0,"Awaiting Deposit",$P35&lt;=0,"Paid",TRUE(),"Part Paid"))</f>
        <v/>
      </c>
      <c r="R35" s="30"/>
      <c r="S35" s="30"/>
      <c r="T35" s="30"/>
      <c r="U35" s="30"/>
      <c r="V35" s="30"/>
      <c r="W35" s="34"/>
    </row>
    <row r="36" customFormat="false" ht="25.5" hidden="false" customHeight="true" outlineLevel="0" collapsed="false">
      <c r="A36" s="30"/>
      <c r="B36" s="30"/>
      <c r="C36" s="30"/>
      <c r="D36" s="30"/>
      <c r="E36" s="30"/>
      <c r="F36" s="30"/>
      <c r="G36" s="31"/>
      <c r="H36" s="31"/>
      <c r="I36" s="30"/>
      <c r="J36" s="30"/>
      <c r="K36" s="30"/>
      <c r="L36" s="30"/>
      <c r="M36" s="32"/>
      <c r="N36" s="32"/>
      <c r="O36" s="32"/>
      <c r="P36" s="33" t="str">
        <f aca="false">IF($M36="","",$M36-$O36)</f>
        <v/>
      </c>
      <c r="Q36" s="20" t="str">
        <f aca="false">IF($A36="","",_xlfn.IFS($M36=0,"Not Invoiced",$O36=0,"Awaiting Deposit",$P36&lt;=0,"Paid",TRUE(),"Part Paid"))</f>
        <v/>
      </c>
      <c r="R36" s="30"/>
      <c r="S36" s="30"/>
      <c r="T36" s="30"/>
      <c r="U36" s="30"/>
      <c r="V36" s="30"/>
      <c r="W36" s="34"/>
    </row>
    <row r="37" customFormat="false" ht="25.5" hidden="false" customHeight="true" outlineLevel="0" collapsed="false">
      <c r="A37" s="30"/>
      <c r="B37" s="30"/>
      <c r="C37" s="30"/>
      <c r="D37" s="30"/>
      <c r="E37" s="30"/>
      <c r="F37" s="30"/>
      <c r="G37" s="31"/>
      <c r="H37" s="31"/>
      <c r="I37" s="30"/>
      <c r="J37" s="30"/>
      <c r="K37" s="30"/>
      <c r="L37" s="30"/>
      <c r="M37" s="32"/>
      <c r="N37" s="32"/>
      <c r="O37" s="32"/>
      <c r="P37" s="33" t="str">
        <f aca="false">IF($M37="","",$M37-$O37)</f>
        <v/>
      </c>
      <c r="Q37" s="20" t="str">
        <f aca="false">IF($A37="","",_xlfn.IFS($M37=0,"Not Invoiced",$O37=0,"Awaiting Deposit",$P37&lt;=0,"Paid",TRUE(),"Part Paid"))</f>
        <v/>
      </c>
      <c r="R37" s="30"/>
      <c r="S37" s="30"/>
      <c r="T37" s="30"/>
      <c r="U37" s="30"/>
      <c r="V37" s="30"/>
      <c r="W37" s="34"/>
    </row>
    <row r="38" customFormat="false" ht="25.5" hidden="false" customHeight="true" outlineLevel="0" collapsed="false">
      <c r="A38" s="30"/>
      <c r="B38" s="30"/>
      <c r="C38" s="30"/>
      <c r="D38" s="30"/>
      <c r="E38" s="30"/>
      <c r="F38" s="30"/>
      <c r="G38" s="31"/>
      <c r="H38" s="31"/>
      <c r="I38" s="30"/>
      <c r="J38" s="30"/>
      <c r="K38" s="30"/>
      <c r="L38" s="30"/>
      <c r="M38" s="32"/>
      <c r="N38" s="32"/>
      <c r="O38" s="32"/>
      <c r="P38" s="33" t="str">
        <f aca="false">IF($M38="","",$M38-$O38)</f>
        <v/>
      </c>
      <c r="Q38" s="20" t="str">
        <f aca="false">IF($A38="","",_xlfn.IFS($M38=0,"Not Invoiced",$O38=0,"Awaiting Deposit",$P38&lt;=0,"Paid",TRUE(),"Part Paid"))</f>
        <v/>
      </c>
      <c r="R38" s="30"/>
      <c r="S38" s="30"/>
      <c r="T38" s="30"/>
      <c r="U38" s="30"/>
      <c r="V38" s="30"/>
      <c r="W38" s="34"/>
    </row>
    <row r="39" customFormat="false" ht="25.5" hidden="false" customHeight="true" outlineLevel="0" collapsed="false">
      <c r="A39" s="30"/>
      <c r="B39" s="30"/>
      <c r="C39" s="30"/>
      <c r="D39" s="30"/>
      <c r="E39" s="30"/>
      <c r="F39" s="30"/>
      <c r="G39" s="31"/>
      <c r="H39" s="31"/>
      <c r="I39" s="30"/>
      <c r="J39" s="30"/>
      <c r="K39" s="30"/>
      <c r="L39" s="30"/>
      <c r="M39" s="32"/>
      <c r="N39" s="32"/>
      <c r="O39" s="32"/>
      <c r="P39" s="33" t="str">
        <f aca="false">IF($M39="","",$M39-$O39)</f>
        <v/>
      </c>
      <c r="Q39" s="20" t="str">
        <f aca="false">IF($A39="","",_xlfn.IFS($M39=0,"Not Invoiced",$O39=0,"Awaiting Deposit",$P39&lt;=0,"Paid",TRUE(),"Part Paid"))</f>
        <v/>
      </c>
      <c r="R39" s="30"/>
      <c r="S39" s="30"/>
      <c r="T39" s="30"/>
      <c r="U39" s="30"/>
      <c r="V39" s="30"/>
      <c r="W39" s="34"/>
    </row>
    <row r="40" customFormat="false" ht="25.5" hidden="false" customHeight="true" outlineLevel="0" collapsed="false">
      <c r="A40" s="30"/>
      <c r="B40" s="30"/>
      <c r="C40" s="30"/>
      <c r="D40" s="30"/>
      <c r="E40" s="30"/>
      <c r="F40" s="30"/>
      <c r="G40" s="31"/>
      <c r="H40" s="31"/>
      <c r="I40" s="30"/>
      <c r="J40" s="30"/>
      <c r="K40" s="30"/>
      <c r="L40" s="30"/>
      <c r="M40" s="32"/>
      <c r="N40" s="32"/>
      <c r="O40" s="32"/>
      <c r="P40" s="33" t="str">
        <f aca="false">IF($M40="","",$M40-$O40)</f>
        <v/>
      </c>
      <c r="Q40" s="20" t="str">
        <f aca="false">IF($A40="","",_xlfn.IFS($M40=0,"Not Invoiced",$O40=0,"Awaiting Deposit",$P40&lt;=0,"Paid",TRUE(),"Part Paid"))</f>
        <v/>
      </c>
      <c r="R40" s="30"/>
      <c r="S40" s="30"/>
      <c r="T40" s="30"/>
      <c r="U40" s="30"/>
      <c r="V40" s="30"/>
      <c r="W40" s="34"/>
    </row>
    <row r="41" customFormat="false" ht="25.5" hidden="false" customHeight="true" outlineLevel="0" collapsed="false">
      <c r="A41" s="30"/>
      <c r="B41" s="30"/>
      <c r="C41" s="30"/>
      <c r="D41" s="30"/>
      <c r="E41" s="30"/>
      <c r="F41" s="30"/>
      <c r="G41" s="31"/>
      <c r="H41" s="31"/>
      <c r="I41" s="30"/>
      <c r="J41" s="30"/>
      <c r="K41" s="30"/>
      <c r="L41" s="30"/>
      <c r="M41" s="32"/>
      <c r="N41" s="32"/>
      <c r="O41" s="32"/>
      <c r="P41" s="33" t="str">
        <f aca="false">IF($M41="","",$M41-$O41)</f>
        <v/>
      </c>
      <c r="Q41" s="20" t="str">
        <f aca="false">IF($A41="","",_xlfn.IFS($M41=0,"Not Invoiced",$O41=0,"Awaiting Deposit",$P41&lt;=0,"Paid",TRUE(),"Part Paid"))</f>
        <v/>
      </c>
      <c r="R41" s="30"/>
      <c r="S41" s="30"/>
      <c r="T41" s="30"/>
      <c r="U41" s="30"/>
      <c r="V41" s="30"/>
      <c r="W41" s="34"/>
    </row>
    <row r="42" customFormat="false" ht="25.5" hidden="false" customHeight="true" outlineLevel="0" collapsed="false">
      <c r="A42" s="30"/>
      <c r="B42" s="30"/>
      <c r="C42" s="30"/>
      <c r="D42" s="30"/>
      <c r="E42" s="30"/>
      <c r="F42" s="30"/>
      <c r="G42" s="31"/>
      <c r="H42" s="31"/>
      <c r="I42" s="30"/>
      <c r="J42" s="30"/>
      <c r="K42" s="30"/>
      <c r="L42" s="30"/>
      <c r="M42" s="32"/>
      <c r="N42" s="32"/>
      <c r="O42" s="32"/>
      <c r="P42" s="33" t="str">
        <f aca="false">IF($M42="","",$M42-$O42)</f>
        <v/>
      </c>
      <c r="Q42" s="20" t="str">
        <f aca="false">IF($A42="","",_xlfn.IFS($M42=0,"Not Invoiced",$O42=0,"Awaiting Deposit",$P42&lt;=0,"Paid",TRUE(),"Part Paid"))</f>
        <v/>
      </c>
      <c r="R42" s="30"/>
      <c r="S42" s="30"/>
      <c r="T42" s="30"/>
      <c r="U42" s="30"/>
      <c r="V42" s="30"/>
      <c r="W42" s="34"/>
    </row>
    <row r="43" customFormat="false" ht="25.5" hidden="false" customHeight="true" outlineLevel="0" collapsed="false">
      <c r="A43" s="30"/>
      <c r="B43" s="30"/>
      <c r="C43" s="30"/>
      <c r="D43" s="30"/>
      <c r="E43" s="30"/>
      <c r="F43" s="30"/>
      <c r="G43" s="31"/>
      <c r="H43" s="31"/>
      <c r="I43" s="30"/>
      <c r="J43" s="30"/>
      <c r="K43" s="30"/>
      <c r="L43" s="30"/>
      <c r="M43" s="32"/>
      <c r="N43" s="32"/>
      <c r="O43" s="32"/>
      <c r="P43" s="33" t="str">
        <f aca="false">IF($M43="","",$M43-$O43)</f>
        <v/>
      </c>
      <c r="Q43" s="20" t="str">
        <f aca="false">IF($A43="","",_xlfn.IFS($M43=0,"Not Invoiced",$O43=0,"Awaiting Deposit",$P43&lt;=0,"Paid",TRUE(),"Part Paid"))</f>
        <v/>
      </c>
      <c r="R43" s="30"/>
      <c r="S43" s="30"/>
      <c r="T43" s="30"/>
      <c r="U43" s="30"/>
      <c r="V43" s="30"/>
      <c r="W43" s="34"/>
    </row>
    <row r="44" customFormat="false" ht="25.5" hidden="false" customHeight="true" outlineLevel="0" collapsed="false">
      <c r="A44" s="30"/>
      <c r="B44" s="30"/>
      <c r="C44" s="30"/>
      <c r="D44" s="30"/>
      <c r="E44" s="30"/>
      <c r="F44" s="30"/>
      <c r="G44" s="31"/>
      <c r="H44" s="31"/>
      <c r="I44" s="30"/>
      <c r="J44" s="30"/>
      <c r="K44" s="30"/>
      <c r="L44" s="30"/>
      <c r="M44" s="32"/>
      <c r="N44" s="32"/>
      <c r="O44" s="32"/>
      <c r="P44" s="33" t="str">
        <f aca="false">IF($M44="","",$M44-$O44)</f>
        <v/>
      </c>
      <c r="Q44" s="20" t="str">
        <f aca="false">IF($A44="","",_xlfn.IFS($M44=0,"Not Invoiced",$O44=0,"Awaiting Deposit",$P44&lt;=0,"Paid",TRUE(),"Part Paid"))</f>
        <v/>
      </c>
      <c r="R44" s="30"/>
      <c r="S44" s="30"/>
      <c r="T44" s="30"/>
      <c r="U44" s="30"/>
      <c r="V44" s="30"/>
      <c r="W44" s="34"/>
    </row>
  </sheetData>
  <sheetProtection sheet="true" formatCells="false" formatColumns="false" formatRows="false" insertRows="false" sort="false" autoFilter="false"/>
  <mergeCells count="5">
    <mergeCell ref="A1:W1"/>
    <mergeCell ref="A2:W2"/>
    <mergeCell ref="B3:C3"/>
    <mergeCell ref="F3:G3"/>
    <mergeCell ref="J3:K3"/>
  </mergeCells>
  <conditionalFormatting sqref="U5:U44">
    <cfRule type="expression" priority="2" aboveAverage="0" equalAverage="0" bottom="0" percent="0" rank="0" text="" dxfId="13">
      <formula>U5="VIP"</formula>
    </cfRule>
  </conditionalFormatting>
  <conditionalFormatting sqref="V5:V44">
    <cfRule type="expression" priority="3" aboveAverage="0" equalAverage="0" bottom="0" percent="0" rank="0" text="" dxfId="5">
      <formula>V5="Active"</formula>
    </cfRule>
    <cfRule type="expression" priority="4" aboveAverage="0" equalAverage="0" bottom="0" percent="0" rank="0" text="" dxfId="6">
      <formula>V5="On Hold"</formula>
    </cfRule>
    <cfRule type="expression" priority="5" aboveAverage="0" equalAverage="0" bottom="0" percent="0" rank="0" text="" dxfId="4">
      <formula>V5="Cancelled"</formula>
    </cfRule>
  </conditionalFormatting>
  <conditionalFormatting sqref="Q5:Q44">
    <cfRule type="expression" priority="6" aboveAverage="0" equalAverage="0" bottom="0" percent="0" rank="0" text="" dxfId="5">
      <formula>Q5="Paid"</formula>
    </cfRule>
    <cfRule type="expression" priority="7" aboveAverage="0" equalAverage="0" bottom="0" percent="0" rank="0" text="" dxfId="3">
      <formula>Q5="Awaiting Deposit"</formula>
    </cfRule>
  </conditionalFormatting>
  <dataValidations count="7">
    <dataValidation allowBlank="true" error="Please choose a value from the dropdown list." errorStyle="stop" errorTitle="Invalid entry" operator="between" showDropDown="false" showErrorMessage="true" showInputMessage="false" sqref="I5:I44" type="list">
      <formula1>Lists!$C$2:$C$8</formula1>
      <formula2>0</formula2>
    </dataValidation>
    <dataValidation allowBlank="true" error="Please choose a value from the dropdown list." errorStyle="stop" errorTitle="Invalid entry" operator="between" showDropDown="false" showErrorMessage="true" showInputMessage="false" sqref="J5:J44" type="list">
      <formula1>Lists!$D$2:$D$7</formula1>
      <formula2>0</formula2>
    </dataValidation>
    <dataValidation allowBlank="true" error="Please choose a value from the dropdown list." errorStyle="stop" errorTitle="Invalid entry" operator="between" showDropDown="false" showErrorMessage="true" showInputMessage="false" sqref="R5:R44" type="list">
      <formula1>Lists!$F$2:$F$3</formula1>
      <formula2>0</formula2>
    </dataValidation>
    <dataValidation allowBlank="true" error="Please choose a value from the dropdown list." errorStyle="stop" errorTitle="Invalid entry" operator="between" showDropDown="false" showErrorMessage="true" showInputMessage="false" sqref="S5:S44" type="list">
      <formula1>Lists!$F$2:$F$3</formula1>
      <formula2>0</formula2>
    </dataValidation>
    <dataValidation allowBlank="true" error="Please choose a value from the dropdown list." errorStyle="stop" errorTitle="Invalid entry" operator="between" showDropDown="false" showErrorMessage="true" showInputMessage="false" sqref="T5:T44" type="list">
      <formula1>Lists!$E$2:$E$6</formula1>
      <formula2>0</formula2>
    </dataValidation>
    <dataValidation allowBlank="true" error="Please choose a value from the dropdown list." errorStyle="stop" errorTitle="Invalid entry" operator="between" showDropDown="false" showErrorMessage="true" showInputMessage="false" sqref="U5:U44" type="list">
      <formula1>Lists!$A$2:$A$5</formula1>
      <formula2>0</formula2>
    </dataValidation>
    <dataValidation allowBlank="true" error="Please choose a value from the dropdown list." errorStyle="stop" errorTitle="Invalid entry" operator="between" showDropDown="false" showErrorMessage="true" showInputMessage="false" sqref="V5:V44" type="list">
      <formula1>Lists!$B$2:$B$8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1" style="3" width="9"/>
    <col collapsed="false" customWidth="true" hidden="false" outlineLevel="0" max="3" min="3" style="3" width="16"/>
    <col collapsed="false" customWidth="true" hidden="false" outlineLevel="0" max="4" min="4" style="3" width="26"/>
    <col collapsed="false" customWidth="true" hidden="false" outlineLevel="0" max="6" min="5" style="3" width="12"/>
    <col collapsed="false" customWidth="true" hidden="false" outlineLevel="0" max="7" min="7" style="3" width="10"/>
    <col collapsed="false" customWidth="true" hidden="false" outlineLevel="0" max="8" min="8" style="3" width="16"/>
    <col collapsed="false" customWidth="true" hidden="false" outlineLevel="0" max="9" min="9" style="3" width="9"/>
    <col collapsed="false" customWidth="true" hidden="false" outlineLevel="0" max="10" min="10" style="3" width="15"/>
    <col collapsed="false" customWidth="true" hidden="false" outlineLevel="0" max="13" min="11" style="3" width="8"/>
    <col collapsed="false" customWidth="true" hidden="false" outlineLevel="0" max="14" min="14" style="3" width="12"/>
    <col collapsed="false" customWidth="true" hidden="false" outlineLevel="0" max="15" min="15" style="3" width="13"/>
    <col collapsed="false" customWidth="true" hidden="false" outlineLevel="0" max="16" min="16" style="3" width="30"/>
    <col collapsed="false" customWidth="true" hidden="false" outlineLevel="0" max="17" min="17" style="3" width="12"/>
    <col collapsed="false" customWidth="true" hidden="false" outlineLevel="0" max="18" min="18" style="3" width="10"/>
    <col collapsed="false" customWidth="true" hidden="false" outlineLevel="0" max="19" min="19" style="3" width="9"/>
    <col collapsed="false" customWidth="true" hidden="false" outlineLevel="0" max="20" min="20" style="3" width="10"/>
    <col collapsed="false" customWidth="true" hidden="false" outlineLevel="0" max="21" min="21" style="3" width="11"/>
    <col collapsed="false" customWidth="true" hidden="false" outlineLevel="0" max="22" min="22" style="3" width="13"/>
    <col collapsed="false" customWidth="true" hidden="false" outlineLevel="0" max="23" min="23" style="3" width="11"/>
    <col collapsed="false" customWidth="true" hidden="false" outlineLevel="0" max="24" min="24" style="3" width="30"/>
    <col collapsed="false" customWidth="true" hidden="true" outlineLevel="0" max="36" min="25" style="3" width="15"/>
    <col collapsed="false" customWidth="true" hidden="false" outlineLevel="0" max="37" min="37" style="3" width="13"/>
  </cols>
  <sheetData>
    <row r="1" customFormat="false" ht="33.75" hidden="false" customHeight="true" outlineLevel="0" collapsed="false">
      <c r="A1" s="4" t="s">
        <v>202</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customFormat="false" ht="19.5" hidden="false" customHeight="true" outlineLevel="0" collapsed="false">
      <c r="A2" s="25" t="s">
        <v>203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179</v>
      </c>
      <c r="C4" s="17" t="s">
        <v>205</v>
      </c>
      <c r="D4" s="17" t="s">
        <v>206</v>
      </c>
      <c r="E4" s="17" t="s">
        <v>207</v>
      </c>
      <c r="F4" s="17" t="s">
        <v>208</v>
      </c>
      <c r="G4" s="17" t="s">
        <v>159</v>
      </c>
      <c r="H4" s="17" t="s">
        <v>158</v>
      </c>
      <c r="I4" s="17" t="s">
        <v>209</v>
      </c>
      <c r="J4" s="17" t="s">
        <v>210</v>
      </c>
      <c r="K4" s="17" t="s">
        <v>211</v>
      </c>
      <c r="L4" s="17" t="s">
        <v>212</v>
      </c>
      <c r="M4" s="17" t="s">
        <v>213</v>
      </c>
      <c r="N4" s="17" t="s">
        <v>214</v>
      </c>
      <c r="O4" s="17" t="s">
        <v>215</v>
      </c>
      <c r="P4" s="17" t="s">
        <v>160</v>
      </c>
      <c r="Q4" s="17" t="s">
        <v>216</v>
      </c>
      <c r="R4" s="17" t="s">
        <v>217</v>
      </c>
      <c r="S4" s="17" t="s">
        <v>218</v>
      </c>
      <c r="T4" s="17" t="s">
        <v>219</v>
      </c>
      <c r="U4" s="17" t="s">
        <v>220</v>
      </c>
      <c r="V4" s="17" t="s">
        <v>221</v>
      </c>
      <c r="W4" s="17" t="s">
        <v>222</v>
      </c>
      <c r="X4" s="17" t="s">
        <v>201</v>
      </c>
      <c r="Y4" s="17" t="s">
        <v>223</v>
      </c>
      <c r="Z4" s="17" t="s">
        <v>224</v>
      </c>
      <c r="AA4" s="17" t="s">
        <v>225</v>
      </c>
      <c r="AB4" s="17" t="s">
        <v>226</v>
      </c>
      <c r="AC4" s="17" t="s">
        <v>227</v>
      </c>
      <c r="AD4" s="17" t="s">
        <v>228</v>
      </c>
      <c r="AE4" s="17" t="s">
        <v>229</v>
      </c>
      <c r="AF4" s="17" t="s">
        <v>230</v>
      </c>
      <c r="AG4" s="17" t="s">
        <v>231</v>
      </c>
      <c r="AH4" s="17" t="s">
        <v>232</v>
      </c>
      <c r="AI4" s="17" t="s">
        <v>233</v>
      </c>
      <c r="AJ4" s="17" t="s">
        <v>234</v>
      </c>
      <c r="AK4" s="17" t="s">
        <v>162</v>
      </c>
    </row>
    <row r="5" customFormat="false" ht="25.5" hidden="false" customHeight="true" outlineLevel="0" collapsed="false">
      <c r="A5" s="30"/>
      <c r="B5" s="30"/>
      <c r="C5" s="20" t="str">
        <f aca="false">IFERROR(INDEX(Clients!$B$5:$B$44,MATCH($B5,Clients!$A$5:$A$44,0)),"")</f>
        <v/>
      </c>
      <c r="D5" s="30"/>
      <c r="E5" s="31"/>
      <c r="F5" s="31"/>
      <c r="G5" s="20" t="str">
        <f aca="true">IF($A5="","",$F5-TODAY())</f>
        <v/>
      </c>
      <c r="H5" s="30"/>
      <c r="I5" s="30"/>
      <c r="J5" s="20" t="str">
        <f aca="false">IF($A5="","",_xlfn.IFS(OR($W5="Yes",$H5="Complete"),"Completed",$H5="On Hold","On Hold",$G5&lt;0,"Overdue",$O5="Client","Waiting on Client",$G5&lt;=7,"At Risk",TRUE(),"On Track"))</f>
        <v/>
      </c>
      <c r="K5" s="20" t="str">
        <f aca="false">IF($A5="","",IFERROR(_xlfn.MAXIFS('Iteration Tracker'!$D$5:$D$124,'Iteration Tracker'!$A$5:$A$124,$A5),0))</f>
        <v/>
      </c>
      <c r="L5" s="30"/>
      <c r="M5" s="20" t="str">
        <f aca="false">IF($A5="","",$L5-$K5)</f>
        <v/>
      </c>
      <c r="N5" s="31"/>
      <c r="O5" s="30"/>
      <c r="P5" s="34"/>
      <c r="Q5" s="31"/>
      <c r="R5" s="20" t="str">
        <f aca="true">IF($A5="","",IF($N5="","",TODAY()-$N5))</f>
        <v/>
      </c>
      <c r="S5" s="30"/>
      <c r="T5" s="30"/>
      <c r="U5" s="30"/>
      <c r="V5" s="30"/>
      <c r="W5" s="30"/>
      <c r="X5" s="34"/>
      <c r="Z5" s="3" t="n">
        <f aca="false">IF($A5="",0,IF(AND($G5&lt;0,$J5&lt;&gt;"Completed",$J5&lt;&gt;"On Hold"),1,0))</f>
        <v>0</v>
      </c>
      <c r="AA5" s="3" t="n">
        <f aca="false">IF($A5="",0,IF(AND($G5&gt;=0,$G5&lt;=7,$J5&lt;&gt;"Completed",$J5&lt;&gt;"On Hold"),1,0))</f>
        <v>0</v>
      </c>
      <c r="AB5" s="3" t="n">
        <f aca="false">IF($A5="",0,IF(AND($O5="Us",$J5&lt;&gt;"Completed"),1,0))</f>
        <v>0</v>
      </c>
      <c r="AC5" s="3" t="n">
        <f aca="false">IF($A5="",0,IF(AND($H5="Awaiting Feedback",$R5&lt;&gt;"",$R5&gt;7),1,0))</f>
        <v>0</v>
      </c>
      <c r="AD5" s="3" t="n">
        <f aca="false">IF($A5="",0,IF(AND($M5&lt;&gt;"",$M5&lt;=1,$J5&lt;&gt;"Completed"),1,0))</f>
        <v>0</v>
      </c>
      <c r="AE5" s="3" t="n">
        <f aca="false">IFERROR(IF(AND($A5&lt;&gt;"",INDEX('Project Financials'!$AC$5:$AC$64,MATCH($A5,'Project Financials'!$A$5:$A$64,0))&lt;0.2,INDEX('Project Financials'!$D$5:$D$64,MATCH($A5,'Project Financials'!$A$5:$A$64,0))&gt;0),1,0),0)</f>
        <v>0</v>
      </c>
      <c r="AF5" s="3" t="n">
        <f aca="false">IFERROR(IF(OR(INDEX(Payments!$N$5:$N$64,MATCH($A5,Payments!$B$5:$B$64,0))="Overdue",INDEX(Payments!$N$5:$N$64,MATCH($A5,Payments!$B$5:$B$64,0))="Awaiting Deposit"),1,0),0)</f>
        <v>0</v>
      </c>
      <c r="AG5" s="3" t="n">
        <f aca="false">IF($A5="",0,IF(SUM(Z5:AF5)&gt;0,1,0))</f>
        <v>0</v>
      </c>
      <c r="AH5" s="3" t="str">
        <f aca="false">IF($AG5=0,"",LEFT((IF($Z5=1,"Overdue; ",""))&amp;(IF($AA5=1,"Deadline ≤ 7 days; ",""))&amp;(IF($AB5=1,"Action needed from us; ",""))&amp;(IF($AC5=1,"Client feedback overdue; ",""))&amp;(IF($AD5=1,"At iteration limit; ",""))&amp;(IF($AE5=1,"Low margin; ",""))&amp;(IF($AF5=1,"Unpaid invoice; ","")),LEN((IF($Z5=1,"Overdue; ",""))&amp;(IF($AA5=1,"Deadline ≤ 7 days; ",""))&amp;(IF($AB5=1,"Action needed from us; ",""))&amp;(IF($AC5=1,"Client feedback overdue; ",""))&amp;(IF($AD5=1,"At iteration limit; ",""))&amp;(IF($AE5=1,"Low margin; ",""))&amp;(IF($AF5=1,"Unpaid invoice; ","")))-2))</f>
        <v/>
      </c>
      <c r="AI5" s="3" t="str">
        <f aca="false">IF(AND($A5&lt;&gt;"",$J5&lt;&gt;"Completed",$J5&lt;&gt;"On Hold"),$F5*1000+(ROW()-ROW($A$5)+1),"")</f>
        <v/>
      </c>
      <c r="AJ5" s="3" t="str">
        <f aca="false">IF($AG5=1,ROW()-ROW($A$5)+1,"")</f>
        <v/>
      </c>
      <c r="AK5" s="35"/>
    </row>
    <row r="6" customFormat="false" ht="25.5" hidden="false" customHeight="true" outlineLevel="0" collapsed="false">
      <c r="A6" s="30"/>
      <c r="B6" s="30"/>
      <c r="C6" s="20" t="str">
        <f aca="false">IFERROR(INDEX(Clients!$B$5:$B$44,MATCH($B6,Clients!$A$5:$A$44,0)),"")</f>
        <v/>
      </c>
      <c r="D6" s="30"/>
      <c r="E6" s="31"/>
      <c r="F6" s="31"/>
      <c r="G6" s="20" t="str">
        <f aca="true">IF($A6="","",$F6-TODAY())</f>
        <v/>
      </c>
      <c r="H6" s="30"/>
      <c r="I6" s="30"/>
      <c r="J6" s="20" t="str">
        <f aca="false">IF($A6="","",_xlfn.IFS(OR($W6="Yes",$H6="Complete"),"Completed",$H6="On Hold","On Hold",$G6&lt;0,"Overdue",$O6="Client","Waiting on Client",$G6&lt;=7,"At Risk",TRUE(),"On Track"))</f>
        <v/>
      </c>
      <c r="K6" s="20" t="str">
        <f aca="false">IF($A6="","",IFERROR(_xlfn.MAXIFS('Iteration Tracker'!$D$5:$D$124,'Iteration Tracker'!$A$5:$A$124,$A6),0))</f>
        <v/>
      </c>
      <c r="L6" s="30"/>
      <c r="M6" s="20" t="str">
        <f aca="false">IF($A6="","",$L6-$K6)</f>
        <v/>
      </c>
      <c r="N6" s="31"/>
      <c r="O6" s="30"/>
      <c r="P6" s="34"/>
      <c r="Q6" s="31"/>
      <c r="R6" s="20" t="str">
        <f aca="true">IF($A6="","",IF($N6="","",TODAY()-$N6))</f>
        <v/>
      </c>
      <c r="S6" s="30"/>
      <c r="T6" s="30"/>
      <c r="U6" s="30"/>
      <c r="V6" s="30"/>
      <c r="W6" s="30"/>
      <c r="X6" s="34"/>
      <c r="Z6" s="3" t="n">
        <f aca="false">IF($A6="",0,IF(AND($G6&lt;0,$J6&lt;&gt;"Completed",$J6&lt;&gt;"On Hold"),1,0))</f>
        <v>0</v>
      </c>
      <c r="AA6" s="3" t="n">
        <f aca="false">IF($A6="",0,IF(AND($G6&gt;=0,$G6&lt;=7,$J6&lt;&gt;"Completed",$J6&lt;&gt;"On Hold"),1,0))</f>
        <v>0</v>
      </c>
      <c r="AB6" s="3" t="n">
        <f aca="false">IF($A6="",0,IF(AND($O6="Us",$J6&lt;&gt;"Completed"),1,0))</f>
        <v>0</v>
      </c>
      <c r="AC6" s="3" t="n">
        <f aca="false">IF($A6="",0,IF(AND($H6="Awaiting Feedback",$R6&lt;&gt;"",$R6&gt;7),1,0))</f>
        <v>0</v>
      </c>
      <c r="AD6" s="3" t="n">
        <f aca="false">IF($A6="",0,IF(AND($M6&lt;&gt;"",$M6&lt;=1,$J6&lt;&gt;"Completed"),1,0))</f>
        <v>0</v>
      </c>
      <c r="AE6" s="3" t="n">
        <f aca="false">IFERROR(IF(AND($A6&lt;&gt;"",INDEX('Project Financials'!$AC$5:$AC$64,MATCH($A6,'Project Financials'!$A$5:$A$64,0))&lt;0.2,INDEX('Project Financials'!$D$5:$D$64,MATCH($A6,'Project Financials'!$A$5:$A$64,0))&gt;0),1,0),0)</f>
        <v>0</v>
      </c>
      <c r="AF6" s="3" t="n">
        <f aca="false">IFERROR(IF(OR(INDEX(Payments!$N$5:$N$64,MATCH($A6,Payments!$B$5:$B$64,0))="Overdue",INDEX(Payments!$N$5:$N$64,MATCH($A6,Payments!$B$5:$B$64,0))="Awaiting Deposit"),1,0),0)</f>
        <v>0</v>
      </c>
      <c r="AG6" s="3" t="n">
        <f aca="false">IF($A6="",0,IF(SUM(Z6:AF6)&gt;0,1,0))</f>
        <v>0</v>
      </c>
      <c r="AH6" s="3" t="str">
        <f aca="false">IF($AG6=0,"",LEFT((IF($Z6=1,"Overdue; ",""))&amp;(IF($AA6=1,"Deadline ≤ 7 days; ",""))&amp;(IF($AB6=1,"Action needed from us; ",""))&amp;(IF($AC6=1,"Client feedback overdue; ",""))&amp;(IF($AD6=1,"At iteration limit; ",""))&amp;(IF($AE6=1,"Low margin; ",""))&amp;(IF($AF6=1,"Unpaid invoice; ","")),LEN((IF($Z6=1,"Overdue; ",""))&amp;(IF($AA6=1,"Deadline ≤ 7 days; ",""))&amp;(IF($AB6=1,"Action needed from us; ",""))&amp;(IF($AC6=1,"Client feedback overdue; ",""))&amp;(IF($AD6=1,"At iteration limit; ",""))&amp;(IF($AE6=1,"Low margin; ",""))&amp;(IF($AF6=1,"Unpaid invoice; ","")))-2))</f>
        <v/>
      </c>
      <c r="AI6" s="3" t="str">
        <f aca="false">IF(AND($A6&lt;&gt;"",$J6&lt;&gt;"Completed",$J6&lt;&gt;"On Hold"),$F6*1000+(ROW()-ROW($A$5)+1),"")</f>
        <v/>
      </c>
      <c r="AJ6" s="3" t="str">
        <f aca="false">IF($AG6=1,ROW()-ROW($A$5)+1,"")</f>
        <v/>
      </c>
      <c r="AK6" s="35"/>
    </row>
    <row r="7" customFormat="false" ht="25.5" hidden="false" customHeight="true" outlineLevel="0" collapsed="false">
      <c r="A7" s="30"/>
      <c r="B7" s="30"/>
      <c r="C7" s="20" t="str">
        <f aca="false">IFERROR(INDEX(Clients!$B$5:$B$44,MATCH($B7,Clients!$A$5:$A$44,0)),"")</f>
        <v/>
      </c>
      <c r="D7" s="30"/>
      <c r="E7" s="31"/>
      <c r="F7" s="31"/>
      <c r="G7" s="20" t="str">
        <f aca="true">IF($A7="","",$F7-TODAY())</f>
        <v/>
      </c>
      <c r="H7" s="30"/>
      <c r="I7" s="30"/>
      <c r="J7" s="20" t="str">
        <f aca="false">IF($A7="","",_xlfn.IFS(OR($W7="Yes",$H7="Complete"),"Completed",$H7="On Hold","On Hold",$G7&lt;0,"Overdue",$O7="Client","Waiting on Client",$G7&lt;=7,"At Risk",TRUE(),"On Track"))</f>
        <v/>
      </c>
      <c r="K7" s="20" t="str">
        <f aca="false">IF($A7="","",IFERROR(_xlfn.MAXIFS('Iteration Tracker'!$D$5:$D$124,'Iteration Tracker'!$A$5:$A$124,$A7),0))</f>
        <v/>
      </c>
      <c r="L7" s="30"/>
      <c r="M7" s="20" t="str">
        <f aca="false">IF($A7="","",$L7-$K7)</f>
        <v/>
      </c>
      <c r="N7" s="31"/>
      <c r="O7" s="30"/>
      <c r="P7" s="34"/>
      <c r="Q7" s="31"/>
      <c r="R7" s="20" t="str">
        <f aca="true">IF($A7="","",IF($N7="","",TODAY()-$N7))</f>
        <v/>
      </c>
      <c r="S7" s="30"/>
      <c r="T7" s="30"/>
      <c r="U7" s="30"/>
      <c r="V7" s="30"/>
      <c r="W7" s="30"/>
      <c r="X7" s="34"/>
      <c r="Z7" s="3" t="n">
        <f aca="false">IF($A7="",0,IF(AND($G7&lt;0,$J7&lt;&gt;"Completed",$J7&lt;&gt;"On Hold"),1,0))</f>
        <v>0</v>
      </c>
      <c r="AA7" s="3" t="n">
        <f aca="false">IF($A7="",0,IF(AND($G7&gt;=0,$G7&lt;=7,$J7&lt;&gt;"Completed",$J7&lt;&gt;"On Hold"),1,0))</f>
        <v>0</v>
      </c>
      <c r="AB7" s="3" t="n">
        <f aca="false">IF($A7="",0,IF(AND($O7="Us",$J7&lt;&gt;"Completed"),1,0))</f>
        <v>0</v>
      </c>
      <c r="AC7" s="3" t="n">
        <f aca="false">IF($A7="",0,IF(AND($H7="Awaiting Feedback",$R7&lt;&gt;"",$R7&gt;7),1,0))</f>
        <v>0</v>
      </c>
      <c r="AD7" s="3" t="n">
        <f aca="false">IF($A7="",0,IF(AND($M7&lt;&gt;"",$M7&lt;=1,$J7&lt;&gt;"Completed"),1,0))</f>
        <v>0</v>
      </c>
      <c r="AE7" s="3" t="n">
        <f aca="false">IFERROR(IF(AND($A7&lt;&gt;"",INDEX('Project Financials'!$AC$5:$AC$64,MATCH($A7,'Project Financials'!$A$5:$A$64,0))&lt;0.2,INDEX('Project Financials'!$D$5:$D$64,MATCH($A7,'Project Financials'!$A$5:$A$64,0))&gt;0),1,0),0)</f>
        <v>0</v>
      </c>
      <c r="AF7" s="3" t="n">
        <f aca="false">IFERROR(IF(OR(INDEX(Payments!$N$5:$N$64,MATCH($A7,Payments!$B$5:$B$64,0))="Overdue",INDEX(Payments!$N$5:$N$64,MATCH($A7,Payments!$B$5:$B$64,0))="Awaiting Deposit"),1,0),0)</f>
        <v>0</v>
      </c>
      <c r="AG7" s="3" t="n">
        <f aca="false">IF($A7="",0,IF(SUM(Z7:AF7)&gt;0,1,0))</f>
        <v>0</v>
      </c>
      <c r="AH7" s="3" t="str">
        <f aca="false">IF($AG7=0,"",LEFT((IF($Z7=1,"Overdue; ",""))&amp;(IF($AA7=1,"Deadline ≤ 7 days; ",""))&amp;(IF($AB7=1,"Action needed from us; ",""))&amp;(IF($AC7=1,"Client feedback overdue; ",""))&amp;(IF($AD7=1,"At iteration limit; ",""))&amp;(IF($AE7=1,"Low margin; ",""))&amp;(IF($AF7=1,"Unpaid invoice; ","")),LEN((IF($Z7=1,"Overdue; ",""))&amp;(IF($AA7=1,"Deadline ≤ 7 days; ",""))&amp;(IF($AB7=1,"Action needed from us; ",""))&amp;(IF($AC7=1,"Client feedback overdue; ",""))&amp;(IF($AD7=1,"At iteration limit; ",""))&amp;(IF($AE7=1,"Low margin; ",""))&amp;(IF($AF7=1,"Unpaid invoice; ","")))-2))</f>
        <v/>
      </c>
      <c r="AI7" s="3" t="str">
        <f aca="false">IF(AND($A7&lt;&gt;"",$J7&lt;&gt;"Completed",$J7&lt;&gt;"On Hold"),$F7*1000+(ROW()-ROW($A$5)+1),"")</f>
        <v/>
      </c>
      <c r="AJ7" s="3" t="str">
        <f aca="false">IF($AG7=1,ROW()-ROW($A$5)+1,"")</f>
        <v/>
      </c>
      <c r="AK7" s="35"/>
    </row>
    <row r="8" customFormat="false" ht="25.5" hidden="false" customHeight="true" outlineLevel="0" collapsed="false">
      <c r="A8" s="30"/>
      <c r="B8" s="30"/>
      <c r="C8" s="20" t="str">
        <f aca="false">IFERROR(INDEX(Clients!$B$5:$B$44,MATCH($B8,Clients!$A$5:$A$44,0)),"")</f>
        <v/>
      </c>
      <c r="D8" s="30"/>
      <c r="E8" s="31"/>
      <c r="F8" s="31"/>
      <c r="G8" s="20" t="str">
        <f aca="true">IF($A8="","",$F8-TODAY())</f>
        <v/>
      </c>
      <c r="H8" s="30"/>
      <c r="I8" s="30"/>
      <c r="J8" s="20" t="str">
        <f aca="false">IF($A8="","",_xlfn.IFS(OR($W8="Yes",$H8="Complete"),"Completed",$H8="On Hold","On Hold",$G8&lt;0,"Overdue",$O8="Client","Waiting on Client",$G8&lt;=7,"At Risk",TRUE(),"On Track"))</f>
        <v/>
      </c>
      <c r="K8" s="20" t="str">
        <f aca="false">IF($A8="","",IFERROR(_xlfn.MAXIFS('Iteration Tracker'!$D$5:$D$124,'Iteration Tracker'!$A$5:$A$124,$A8),0))</f>
        <v/>
      </c>
      <c r="L8" s="30"/>
      <c r="M8" s="20" t="str">
        <f aca="false">IF($A8="","",$L8-$K8)</f>
        <v/>
      </c>
      <c r="N8" s="31"/>
      <c r="O8" s="30"/>
      <c r="P8" s="34"/>
      <c r="Q8" s="31"/>
      <c r="R8" s="20" t="str">
        <f aca="true">IF($A8="","",IF($N8="","",TODAY()-$N8))</f>
        <v/>
      </c>
      <c r="S8" s="30"/>
      <c r="T8" s="30"/>
      <c r="U8" s="30"/>
      <c r="V8" s="30"/>
      <c r="W8" s="30"/>
      <c r="X8" s="34"/>
      <c r="Z8" s="3" t="n">
        <f aca="false">IF($A8="",0,IF(AND($G8&lt;0,$J8&lt;&gt;"Completed",$J8&lt;&gt;"On Hold"),1,0))</f>
        <v>0</v>
      </c>
      <c r="AA8" s="3" t="n">
        <f aca="false">IF($A8="",0,IF(AND($G8&gt;=0,$G8&lt;=7,$J8&lt;&gt;"Completed",$J8&lt;&gt;"On Hold"),1,0))</f>
        <v>0</v>
      </c>
      <c r="AB8" s="3" t="n">
        <f aca="false">IF($A8="",0,IF(AND($O8="Us",$J8&lt;&gt;"Completed"),1,0))</f>
        <v>0</v>
      </c>
      <c r="AC8" s="3" t="n">
        <f aca="false">IF($A8="",0,IF(AND($H8="Awaiting Feedback",$R8&lt;&gt;"",$R8&gt;7),1,0))</f>
        <v>0</v>
      </c>
      <c r="AD8" s="3" t="n">
        <f aca="false">IF($A8="",0,IF(AND($M8&lt;&gt;"",$M8&lt;=1,$J8&lt;&gt;"Completed"),1,0))</f>
        <v>0</v>
      </c>
      <c r="AE8" s="3" t="n">
        <f aca="false">IFERROR(IF(AND($A8&lt;&gt;"",INDEX('Project Financials'!$AC$5:$AC$64,MATCH($A8,'Project Financials'!$A$5:$A$64,0))&lt;0.2,INDEX('Project Financials'!$D$5:$D$64,MATCH($A8,'Project Financials'!$A$5:$A$64,0))&gt;0),1,0),0)</f>
        <v>0</v>
      </c>
      <c r="AF8" s="3" t="n">
        <f aca="false">IFERROR(IF(OR(INDEX(Payments!$N$5:$N$64,MATCH($A8,Payments!$B$5:$B$64,0))="Overdue",INDEX(Payments!$N$5:$N$64,MATCH($A8,Payments!$B$5:$B$64,0))="Awaiting Deposit"),1,0),0)</f>
        <v>0</v>
      </c>
      <c r="AG8" s="3" t="n">
        <f aca="false">IF($A8="",0,IF(SUM(Z8:AF8)&gt;0,1,0))</f>
        <v>0</v>
      </c>
      <c r="AH8" s="3" t="str">
        <f aca="false">IF($AG8=0,"",LEFT((IF($Z8=1,"Overdue; ",""))&amp;(IF($AA8=1,"Deadline ≤ 7 days; ",""))&amp;(IF($AB8=1,"Action needed from us; ",""))&amp;(IF($AC8=1,"Client feedback overdue; ",""))&amp;(IF($AD8=1,"At iteration limit; ",""))&amp;(IF($AE8=1,"Low margin; ",""))&amp;(IF($AF8=1,"Unpaid invoice; ","")),LEN((IF($Z8=1,"Overdue; ",""))&amp;(IF($AA8=1,"Deadline ≤ 7 days; ",""))&amp;(IF($AB8=1,"Action needed from us; ",""))&amp;(IF($AC8=1,"Client feedback overdue; ",""))&amp;(IF($AD8=1,"At iteration limit; ",""))&amp;(IF($AE8=1,"Low margin; ",""))&amp;(IF($AF8=1,"Unpaid invoice; ","")))-2))</f>
        <v/>
      </c>
      <c r="AI8" s="3" t="str">
        <f aca="false">IF(AND($A8&lt;&gt;"",$J8&lt;&gt;"Completed",$J8&lt;&gt;"On Hold"),$F8*1000+(ROW()-ROW($A$5)+1),"")</f>
        <v/>
      </c>
      <c r="AJ8" s="3" t="str">
        <f aca="false">IF($AG8=1,ROW()-ROW($A$5)+1,"")</f>
        <v/>
      </c>
      <c r="AK8" s="35"/>
    </row>
    <row r="9" customFormat="false" ht="25.5" hidden="false" customHeight="true" outlineLevel="0" collapsed="false">
      <c r="A9" s="30"/>
      <c r="B9" s="30"/>
      <c r="C9" s="20" t="str">
        <f aca="false">IFERROR(INDEX(Clients!$B$5:$B$44,MATCH($B9,Clients!$A$5:$A$44,0)),"")</f>
        <v/>
      </c>
      <c r="D9" s="30"/>
      <c r="E9" s="31"/>
      <c r="F9" s="31"/>
      <c r="G9" s="20" t="str">
        <f aca="true">IF($A9="","",$F9-TODAY())</f>
        <v/>
      </c>
      <c r="H9" s="30"/>
      <c r="I9" s="30"/>
      <c r="J9" s="20" t="str">
        <f aca="false">IF($A9="","",_xlfn.IFS(OR($W9="Yes",$H9="Complete"),"Completed",$H9="On Hold","On Hold",$G9&lt;0,"Overdue",$O9="Client","Waiting on Client",$G9&lt;=7,"At Risk",TRUE(),"On Track"))</f>
        <v/>
      </c>
      <c r="K9" s="20" t="str">
        <f aca="false">IF($A9="","",IFERROR(_xlfn.MAXIFS('Iteration Tracker'!$D$5:$D$124,'Iteration Tracker'!$A$5:$A$124,$A9),0))</f>
        <v/>
      </c>
      <c r="L9" s="30"/>
      <c r="M9" s="20" t="str">
        <f aca="false">IF($A9="","",$L9-$K9)</f>
        <v/>
      </c>
      <c r="N9" s="31"/>
      <c r="O9" s="30"/>
      <c r="P9" s="34"/>
      <c r="Q9" s="31"/>
      <c r="R9" s="20" t="str">
        <f aca="true">IF($A9="","",IF($N9="","",TODAY()-$N9))</f>
        <v/>
      </c>
      <c r="S9" s="30"/>
      <c r="T9" s="30"/>
      <c r="U9" s="30"/>
      <c r="V9" s="30"/>
      <c r="W9" s="30"/>
      <c r="X9" s="34"/>
      <c r="Z9" s="3" t="n">
        <f aca="false">IF($A9="",0,IF(AND($G9&lt;0,$J9&lt;&gt;"Completed",$J9&lt;&gt;"On Hold"),1,0))</f>
        <v>0</v>
      </c>
      <c r="AA9" s="3" t="n">
        <f aca="false">IF($A9="",0,IF(AND($G9&gt;=0,$G9&lt;=7,$J9&lt;&gt;"Completed",$J9&lt;&gt;"On Hold"),1,0))</f>
        <v>0</v>
      </c>
      <c r="AB9" s="3" t="n">
        <f aca="false">IF($A9="",0,IF(AND($O9="Us",$J9&lt;&gt;"Completed"),1,0))</f>
        <v>0</v>
      </c>
      <c r="AC9" s="3" t="n">
        <f aca="false">IF($A9="",0,IF(AND($H9="Awaiting Feedback",$R9&lt;&gt;"",$R9&gt;7),1,0))</f>
        <v>0</v>
      </c>
      <c r="AD9" s="3" t="n">
        <f aca="false">IF($A9="",0,IF(AND($M9&lt;&gt;"",$M9&lt;=1,$J9&lt;&gt;"Completed"),1,0))</f>
        <v>0</v>
      </c>
      <c r="AE9" s="3" t="n">
        <f aca="false">IFERROR(IF(AND($A9&lt;&gt;"",INDEX('Project Financials'!$AC$5:$AC$64,MATCH($A9,'Project Financials'!$A$5:$A$64,0))&lt;0.2,INDEX('Project Financials'!$D$5:$D$64,MATCH($A9,'Project Financials'!$A$5:$A$64,0))&gt;0),1,0),0)</f>
        <v>0</v>
      </c>
      <c r="AF9" s="3" t="n">
        <f aca="false">IFERROR(IF(OR(INDEX(Payments!$N$5:$N$64,MATCH($A9,Payments!$B$5:$B$64,0))="Overdue",INDEX(Payments!$N$5:$N$64,MATCH($A9,Payments!$B$5:$B$64,0))="Awaiting Deposit"),1,0),0)</f>
        <v>0</v>
      </c>
      <c r="AG9" s="3" t="n">
        <f aca="false">IF($A9="",0,IF(SUM(Z9:AF9)&gt;0,1,0))</f>
        <v>0</v>
      </c>
      <c r="AH9" s="3" t="str">
        <f aca="false">IF($AG9=0,"",LEFT((IF($Z9=1,"Overdue; ",""))&amp;(IF($AA9=1,"Deadline ≤ 7 days; ",""))&amp;(IF($AB9=1,"Action needed from us; ",""))&amp;(IF($AC9=1,"Client feedback overdue; ",""))&amp;(IF($AD9=1,"At iteration limit; ",""))&amp;(IF($AE9=1,"Low margin; ",""))&amp;(IF($AF9=1,"Unpaid invoice; ","")),LEN((IF($Z9=1,"Overdue; ",""))&amp;(IF($AA9=1,"Deadline ≤ 7 days; ",""))&amp;(IF($AB9=1,"Action needed from us; ",""))&amp;(IF($AC9=1,"Client feedback overdue; ",""))&amp;(IF($AD9=1,"At iteration limit; ",""))&amp;(IF($AE9=1,"Low margin; ",""))&amp;(IF($AF9=1,"Unpaid invoice; ","")))-2))</f>
        <v/>
      </c>
      <c r="AI9" s="3" t="str">
        <f aca="false">IF(AND($A9&lt;&gt;"",$J9&lt;&gt;"Completed",$J9&lt;&gt;"On Hold"),$F9*1000+(ROW()-ROW($A$5)+1),"")</f>
        <v/>
      </c>
      <c r="AJ9" s="3" t="str">
        <f aca="false">IF($AG9=1,ROW()-ROW($A$5)+1,"")</f>
        <v/>
      </c>
      <c r="AK9" s="35"/>
    </row>
    <row r="10" customFormat="false" ht="25.5" hidden="false" customHeight="true" outlineLevel="0" collapsed="false">
      <c r="A10" s="30"/>
      <c r="B10" s="30"/>
      <c r="C10" s="20" t="str">
        <f aca="false">IFERROR(INDEX(Clients!$B$5:$B$44,MATCH($B10,Clients!$A$5:$A$44,0)),"")</f>
        <v/>
      </c>
      <c r="D10" s="30"/>
      <c r="E10" s="31"/>
      <c r="F10" s="31"/>
      <c r="G10" s="20" t="str">
        <f aca="true">IF($A10="","",$F10-TODAY())</f>
        <v/>
      </c>
      <c r="H10" s="30"/>
      <c r="I10" s="30"/>
      <c r="J10" s="20" t="str">
        <f aca="false">IF($A10="","",_xlfn.IFS(OR($W10="Yes",$H10="Complete"),"Completed",$H10="On Hold","On Hold",$G10&lt;0,"Overdue",$O10="Client","Waiting on Client",$G10&lt;=7,"At Risk",TRUE(),"On Track"))</f>
        <v/>
      </c>
      <c r="K10" s="20" t="str">
        <f aca="false">IF($A10="","",IFERROR(_xlfn.MAXIFS('Iteration Tracker'!$D$5:$D$124,'Iteration Tracker'!$A$5:$A$124,$A10),0))</f>
        <v/>
      </c>
      <c r="L10" s="30"/>
      <c r="M10" s="20" t="str">
        <f aca="false">IF($A10="","",$L10-$K10)</f>
        <v/>
      </c>
      <c r="N10" s="31"/>
      <c r="O10" s="30"/>
      <c r="P10" s="34"/>
      <c r="Q10" s="31"/>
      <c r="R10" s="20" t="str">
        <f aca="true">IF($A10="","",IF($N10="","",TODAY()-$N10))</f>
        <v/>
      </c>
      <c r="S10" s="30"/>
      <c r="T10" s="30"/>
      <c r="U10" s="30"/>
      <c r="V10" s="30"/>
      <c r="W10" s="30"/>
      <c r="X10" s="34"/>
      <c r="Z10" s="3" t="n">
        <f aca="false">IF($A10="",0,IF(AND($G10&lt;0,$J10&lt;&gt;"Completed",$J10&lt;&gt;"On Hold"),1,0))</f>
        <v>0</v>
      </c>
      <c r="AA10" s="3" t="n">
        <f aca="false">IF($A10="",0,IF(AND($G10&gt;=0,$G10&lt;=7,$J10&lt;&gt;"Completed",$J10&lt;&gt;"On Hold"),1,0))</f>
        <v>0</v>
      </c>
      <c r="AB10" s="3" t="n">
        <f aca="false">IF($A10="",0,IF(AND($O10="Us",$J10&lt;&gt;"Completed"),1,0))</f>
        <v>0</v>
      </c>
      <c r="AC10" s="3" t="n">
        <f aca="false">IF($A10="",0,IF(AND($H10="Awaiting Feedback",$R10&lt;&gt;"",$R10&gt;7),1,0))</f>
        <v>0</v>
      </c>
      <c r="AD10" s="3" t="n">
        <f aca="false">IF($A10="",0,IF(AND($M10&lt;&gt;"",$M10&lt;=1,$J10&lt;&gt;"Completed"),1,0))</f>
        <v>0</v>
      </c>
      <c r="AE10" s="3" t="n">
        <f aca="false">IFERROR(IF(AND($A10&lt;&gt;"",INDEX('Project Financials'!$AC$5:$AC$64,MATCH($A10,'Project Financials'!$A$5:$A$64,0))&lt;0.2,INDEX('Project Financials'!$D$5:$D$64,MATCH($A10,'Project Financials'!$A$5:$A$64,0))&gt;0),1,0),0)</f>
        <v>0</v>
      </c>
      <c r="AF10" s="3" t="n">
        <f aca="false">IFERROR(IF(OR(INDEX(Payments!$N$5:$N$64,MATCH($A10,Payments!$B$5:$B$64,0))="Overdue",INDEX(Payments!$N$5:$N$64,MATCH($A10,Payments!$B$5:$B$64,0))="Awaiting Deposit"),1,0),0)</f>
        <v>0</v>
      </c>
      <c r="AG10" s="3" t="n">
        <f aca="false">IF($A10="",0,IF(SUM(Z10:AF10)&gt;0,1,0))</f>
        <v>0</v>
      </c>
      <c r="AH10" s="3" t="str">
        <f aca="false">IF($AG10=0,"",LEFT((IF($Z10=1,"Overdue; ",""))&amp;(IF($AA10=1,"Deadline ≤ 7 days; ",""))&amp;(IF($AB10=1,"Action needed from us; ",""))&amp;(IF($AC10=1,"Client feedback overdue; ",""))&amp;(IF($AD10=1,"At iteration limit; ",""))&amp;(IF($AE10=1,"Low margin; ",""))&amp;(IF($AF10=1,"Unpaid invoice; ","")),LEN((IF($Z10=1,"Overdue; ",""))&amp;(IF($AA10=1,"Deadline ≤ 7 days; ",""))&amp;(IF($AB10=1,"Action needed from us; ",""))&amp;(IF($AC10=1,"Client feedback overdue; ",""))&amp;(IF($AD10=1,"At iteration limit; ",""))&amp;(IF($AE10=1,"Low margin; ",""))&amp;(IF($AF10=1,"Unpaid invoice; ","")))-2))</f>
        <v/>
      </c>
      <c r="AI10" s="3" t="str">
        <f aca="false">IF(AND($A10&lt;&gt;"",$J10&lt;&gt;"Completed",$J10&lt;&gt;"On Hold"),$F10*1000+(ROW()-ROW($A$5)+1),"")</f>
        <v/>
      </c>
      <c r="AJ10" s="3" t="str">
        <f aca="false">IF($AG10=1,ROW()-ROW($A$5)+1,"")</f>
        <v/>
      </c>
      <c r="AK10" s="35"/>
    </row>
    <row r="11" customFormat="false" ht="25.5" hidden="false" customHeight="true" outlineLevel="0" collapsed="false">
      <c r="A11" s="30"/>
      <c r="B11" s="30"/>
      <c r="C11" s="20" t="str">
        <f aca="false">IFERROR(INDEX(Clients!$B$5:$B$44,MATCH($B11,Clients!$A$5:$A$44,0)),"")</f>
        <v/>
      </c>
      <c r="D11" s="30"/>
      <c r="E11" s="31"/>
      <c r="F11" s="31"/>
      <c r="G11" s="20" t="str">
        <f aca="true">IF($A11="","",$F11-TODAY())</f>
        <v/>
      </c>
      <c r="H11" s="30"/>
      <c r="I11" s="30"/>
      <c r="J11" s="20" t="str">
        <f aca="false">IF($A11="","",_xlfn.IFS(OR($W11="Yes",$H11="Complete"),"Completed",$H11="On Hold","On Hold",$G11&lt;0,"Overdue",$O11="Client","Waiting on Client",$G11&lt;=7,"At Risk",TRUE(),"On Track"))</f>
        <v/>
      </c>
      <c r="K11" s="20" t="str">
        <f aca="false">IF($A11="","",IFERROR(_xlfn.MAXIFS('Iteration Tracker'!$D$5:$D$124,'Iteration Tracker'!$A$5:$A$124,$A11),0))</f>
        <v/>
      </c>
      <c r="L11" s="30"/>
      <c r="M11" s="20" t="str">
        <f aca="false">IF($A11="","",$L11-$K11)</f>
        <v/>
      </c>
      <c r="N11" s="31"/>
      <c r="O11" s="30"/>
      <c r="P11" s="34"/>
      <c r="Q11" s="31"/>
      <c r="R11" s="20" t="str">
        <f aca="true">IF($A11="","",IF($N11="","",TODAY()-$N11))</f>
        <v/>
      </c>
      <c r="S11" s="30"/>
      <c r="T11" s="30"/>
      <c r="U11" s="30"/>
      <c r="V11" s="30"/>
      <c r="W11" s="30"/>
      <c r="X11" s="34"/>
      <c r="Z11" s="3" t="n">
        <f aca="false">IF($A11="",0,IF(AND($G11&lt;0,$J11&lt;&gt;"Completed",$J11&lt;&gt;"On Hold"),1,0))</f>
        <v>0</v>
      </c>
      <c r="AA11" s="3" t="n">
        <f aca="false">IF($A11="",0,IF(AND($G11&gt;=0,$G11&lt;=7,$J11&lt;&gt;"Completed",$J11&lt;&gt;"On Hold"),1,0))</f>
        <v>0</v>
      </c>
      <c r="AB11" s="3" t="n">
        <f aca="false">IF($A11="",0,IF(AND($O11="Us",$J11&lt;&gt;"Completed"),1,0))</f>
        <v>0</v>
      </c>
      <c r="AC11" s="3" t="n">
        <f aca="false">IF($A11="",0,IF(AND($H11="Awaiting Feedback",$R11&lt;&gt;"",$R11&gt;7),1,0))</f>
        <v>0</v>
      </c>
      <c r="AD11" s="3" t="n">
        <f aca="false">IF($A11="",0,IF(AND($M11&lt;&gt;"",$M11&lt;=1,$J11&lt;&gt;"Completed"),1,0))</f>
        <v>0</v>
      </c>
      <c r="AE11" s="3" t="n">
        <f aca="false">IFERROR(IF(AND($A11&lt;&gt;"",INDEX('Project Financials'!$AC$5:$AC$64,MATCH($A11,'Project Financials'!$A$5:$A$64,0))&lt;0.2,INDEX('Project Financials'!$D$5:$D$64,MATCH($A11,'Project Financials'!$A$5:$A$64,0))&gt;0),1,0),0)</f>
        <v>0</v>
      </c>
      <c r="AF11" s="3" t="n">
        <f aca="false">IFERROR(IF(OR(INDEX(Payments!$N$5:$N$64,MATCH($A11,Payments!$B$5:$B$64,0))="Overdue",INDEX(Payments!$N$5:$N$64,MATCH($A11,Payments!$B$5:$B$64,0))="Awaiting Deposit"),1,0),0)</f>
        <v>0</v>
      </c>
      <c r="AG11" s="3" t="n">
        <f aca="false">IF($A11="",0,IF(SUM(Z11:AF11)&gt;0,1,0))</f>
        <v>0</v>
      </c>
      <c r="AH11" s="3" t="str">
        <f aca="false">IF($AG11=0,"",LEFT((IF($Z11=1,"Overdue; ",""))&amp;(IF($AA11=1,"Deadline ≤ 7 days; ",""))&amp;(IF($AB11=1,"Action needed from us; ",""))&amp;(IF($AC11=1,"Client feedback overdue; ",""))&amp;(IF($AD11=1,"At iteration limit; ",""))&amp;(IF($AE11=1,"Low margin; ",""))&amp;(IF($AF11=1,"Unpaid invoice; ","")),LEN((IF($Z11=1,"Overdue; ",""))&amp;(IF($AA11=1,"Deadline ≤ 7 days; ",""))&amp;(IF($AB11=1,"Action needed from us; ",""))&amp;(IF($AC11=1,"Client feedback overdue; ",""))&amp;(IF($AD11=1,"At iteration limit; ",""))&amp;(IF($AE11=1,"Low margin; ",""))&amp;(IF($AF11=1,"Unpaid invoice; ","")))-2))</f>
        <v/>
      </c>
      <c r="AI11" s="3" t="str">
        <f aca="false">IF(AND($A11&lt;&gt;"",$J11&lt;&gt;"Completed",$J11&lt;&gt;"On Hold"),$F11*1000+(ROW()-ROW($A$5)+1),"")</f>
        <v/>
      </c>
      <c r="AJ11" s="3" t="str">
        <f aca="false">IF($AG11=1,ROW()-ROW($A$5)+1,"")</f>
        <v/>
      </c>
      <c r="AK11" s="35"/>
    </row>
    <row r="12" customFormat="false" ht="25.5" hidden="false" customHeight="true" outlineLevel="0" collapsed="false">
      <c r="A12" s="30"/>
      <c r="B12" s="30"/>
      <c r="C12" s="20" t="str">
        <f aca="false">IFERROR(INDEX(Clients!$B$5:$B$44,MATCH($B12,Clients!$A$5:$A$44,0)),"")</f>
        <v/>
      </c>
      <c r="D12" s="30"/>
      <c r="E12" s="31"/>
      <c r="F12" s="31"/>
      <c r="G12" s="20" t="str">
        <f aca="true">IF($A12="","",$F12-TODAY())</f>
        <v/>
      </c>
      <c r="H12" s="30"/>
      <c r="I12" s="30"/>
      <c r="J12" s="20" t="str">
        <f aca="false">IF($A12="","",_xlfn.IFS(OR($W12="Yes",$H12="Complete"),"Completed",$H12="On Hold","On Hold",$G12&lt;0,"Overdue",$O12="Client","Waiting on Client",$G12&lt;=7,"At Risk",TRUE(),"On Track"))</f>
        <v/>
      </c>
      <c r="K12" s="20" t="str">
        <f aca="false">IF($A12="","",IFERROR(_xlfn.MAXIFS('Iteration Tracker'!$D$5:$D$124,'Iteration Tracker'!$A$5:$A$124,$A12),0))</f>
        <v/>
      </c>
      <c r="L12" s="30"/>
      <c r="M12" s="20" t="str">
        <f aca="false">IF($A12="","",$L12-$K12)</f>
        <v/>
      </c>
      <c r="N12" s="31"/>
      <c r="O12" s="30"/>
      <c r="P12" s="34"/>
      <c r="Q12" s="31"/>
      <c r="R12" s="20" t="str">
        <f aca="true">IF($A12="","",IF($N12="","",TODAY()-$N12))</f>
        <v/>
      </c>
      <c r="S12" s="30"/>
      <c r="T12" s="30"/>
      <c r="U12" s="30"/>
      <c r="V12" s="30"/>
      <c r="W12" s="30"/>
      <c r="X12" s="34"/>
      <c r="Z12" s="3" t="n">
        <f aca="false">IF($A12="",0,IF(AND($G12&lt;0,$J12&lt;&gt;"Completed",$J12&lt;&gt;"On Hold"),1,0))</f>
        <v>0</v>
      </c>
      <c r="AA12" s="3" t="n">
        <f aca="false">IF($A12="",0,IF(AND($G12&gt;=0,$G12&lt;=7,$J12&lt;&gt;"Completed",$J12&lt;&gt;"On Hold"),1,0))</f>
        <v>0</v>
      </c>
      <c r="AB12" s="3" t="n">
        <f aca="false">IF($A12="",0,IF(AND($O12="Us",$J12&lt;&gt;"Completed"),1,0))</f>
        <v>0</v>
      </c>
      <c r="AC12" s="3" t="n">
        <f aca="false">IF($A12="",0,IF(AND($H12="Awaiting Feedback",$R12&lt;&gt;"",$R12&gt;7),1,0))</f>
        <v>0</v>
      </c>
      <c r="AD12" s="3" t="n">
        <f aca="false">IF($A12="",0,IF(AND($M12&lt;&gt;"",$M12&lt;=1,$J12&lt;&gt;"Completed"),1,0))</f>
        <v>0</v>
      </c>
      <c r="AE12" s="3" t="n">
        <f aca="false">IFERROR(IF(AND($A12&lt;&gt;"",INDEX('Project Financials'!$AC$5:$AC$64,MATCH($A12,'Project Financials'!$A$5:$A$64,0))&lt;0.2,INDEX('Project Financials'!$D$5:$D$64,MATCH($A12,'Project Financials'!$A$5:$A$64,0))&gt;0),1,0),0)</f>
        <v>0</v>
      </c>
      <c r="AF12" s="3" t="n">
        <f aca="false">IFERROR(IF(OR(INDEX(Payments!$N$5:$N$64,MATCH($A12,Payments!$B$5:$B$64,0))="Overdue",INDEX(Payments!$N$5:$N$64,MATCH($A12,Payments!$B$5:$B$64,0))="Awaiting Deposit"),1,0),0)</f>
        <v>0</v>
      </c>
      <c r="AG12" s="3" t="n">
        <f aca="false">IF($A12="",0,IF(SUM(Z12:AF12)&gt;0,1,0))</f>
        <v>0</v>
      </c>
      <c r="AH12" s="3" t="str">
        <f aca="false">IF($AG12=0,"",LEFT((IF($Z12=1,"Overdue; ",""))&amp;(IF($AA12=1,"Deadline ≤ 7 days; ",""))&amp;(IF($AB12=1,"Action needed from us; ",""))&amp;(IF($AC12=1,"Client feedback overdue; ",""))&amp;(IF($AD12=1,"At iteration limit; ",""))&amp;(IF($AE12=1,"Low margin; ",""))&amp;(IF($AF12=1,"Unpaid invoice; ","")),LEN((IF($Z12=1,"Overdue; ",""))&amp;(IF($AA12=1,"Deadline ≤ 7 days; ",""))&amp;(IF($AB12=1,"Action needed from us; ",""))&amp;(IF($AC12=1,"Client feedback overdue; ",""))&amp;(IF($AD12=1,"At iteration limit; ",""))&amp;(IF($AE12=1,"Low margin; ",""))&amp;(IF($AF12=1,"Unpaid invoice; ","")))-2))</f>
        <v/>
      </c>
      <c r="AI12" s="3" t="str">
        <f aca="false">IF(AND($A12&lt;&gt;"",$J12&lt;&gt;"Completed",$J12&lt;&gt;"On Hold"),$F12*1000+(ROW()-ROW($A$5)+1),"")</f>
        <v/>
      </c>
      <c r="AJ12" s="3" t="str">
        <f aca="false">IF($AG12=1,ROW()-ROW($A$5)+1,"")</f>
        <v/>
      </c>
      <c r="AK12" s="35"/>
    </row>
    <row r="13" customFormat="false" ht="25.5" hidden="false" customHeight="true" outlineLevel="0" collapsed="false">
      <c r="A13" s="30"/>
      <c r="B13" s="30"/>
      <c r="C13" s="20" t="str">
        <f aca="false">IFERROR(INDEX(Clients!$B$5:$B$44,MATCH($B13,Clients!$A$5:$A$44,0)),"")</f>
        <v/>
      </c>
      <c r="D13" s="30"/>
      <c r="E13" s="31"/>
      <c r="F13" s="31"/>
      <c r="G13" s="20" t="str">
        <f aca="true">IF($A13="","",$F13-TODAY())</f>
        <v/>
      </c>
      <c r="H13" s="30"/>
      <c r="I13" s="30"/>
      <c r="J13" s="20" t="str">
        <f aca="false">IF($A13="","",_xlfn.IFS(OR($W13="Yes",$H13="Complete"),"Completed",$H13="On Hold","On Hold",$G13&lt;0,"Overdue",$O13="Client","Waiting on Client",$G13&lt;=7,"At Risk",TRUE(),"On Track"))</f>
        <v/>
      </c>
      <c r="K13" s="20" t="str">
        <f aca="false">IF($A13="","",IFERROR(_xlfn.MAXIFS('Iteration Tracker'!$D$5:$D$124,'Iteration Tracker'!$A$5:$A$124,$A13),0))</f>
        <v/>
      </c>
      <c r="L13" s="30"/>
      <c r="M13" s="20" t="str">
        <f aca="false">IF($A13="","",$L13-$K13)</f>
        <v/>
      </c>
      <c r="N13" s="31"/>
      <c r="O13" s="30"/>
      <c r="P13" s="34"/>
      <c r="Q13" s="31"/>
      <c r="R13" s="20" t="str">
        <f aca="true">IF($A13="","",IF($N13="","",TODAY()-$N13))</f>
        <v/>
      </c>
      <c r="S13" s="30"/>
      <c r="T13" s="30"/>
      <c r="U13" s="30"/>
      <c r="V13" s="30"/>
      <c r="W13" s="30"/>
      <c r="X13" s="34"/>
      <c r="Z13" s="3" t="n">
        <f aca="false">IF($A13="",0,IF(AND($G13&lt;0,$J13&lt;&gt;"Completed",$J13&lt;&gt;"On Hold"),1,0))</f>
        <v>0</v>
      </c>
      <c r="AA13" s="3" t="n">
        <f aca="false">IF($A13="",0,IF(AND($G13&gt;=0,$G13&lt;=7,$J13&lt;&gt;"Completed",$J13&lt;&gt;"On Hold"),1,0))</f>
        <v>0</v>
      </c>
      <c r="AB13" s="3" t="n">
        <f aca="false">IF($A13="",0,IF(AND($O13="Us",$J13&lt;&gt;"Completed"),1,0))</f>
        <v>0</v>
      </c>
      <c r="AC13" s="3" t="n">
        <f aca="false">IF($A13="",0,IF(AND($H13="Awaiting Feedback",$R13&lt;&gt;"",$R13&gt;7),1,0))</f>
        <v>0</v>
      </c>
      <c r="AD13" s="3" t="n">
        <f aca="false">IF($A13="",0,IF(AND($M13&lt;&gt;"",$M13&lt;=1,$J13&lt;&gt;"Completed"),1,0))</f>
        <v>0</v>
      </c>
      <c r="AE13" s="3" t="n">
        <f aca="false">IFERROR(IF(AND($A13&lt;&gt;"",INDEX('Project Financials'!$AC$5:$AC$64,MATCH($A13,'Project Financials'!$A$5:$A$64,0))&lt;0.2,INDEX('Project Financials'!$D$5:$D$64,MATCH($A13,'Project Financials'!$A$5:$A$64,0))&gt;0),1,0),0)</f>
        <v>0</v>
      </c>
      <c r="AF13" s="3" t="n">
        <f aca="false">IFERROR(IF(OR(INDEX(Payments!$N$5:$N$64,MATCH($A13,Payments!$B$5:$B$64,0))="Overdue",INDEX(Payments!$N$5:$N$64,MATCH($A13,Payments!$B$5:$B$64,0))="Awaiting Deposit"),1,0),0)</f>
        <v>0</v>
      </c>
      <c r="AG13" s="3" t="n">
        <f aca="false">IF($A13="",0,IF(SUM(Z13:AF13)&gt;0,1,0))</f>
        <v>0</v>
      </c>
      <c r="AH13" s="3" t="str">
        <f aca="false">IF($AG13=0,"",LEFT((IF($Z13=1,"Overdue; ",""))&amp;(IF($AA13=1,"Deadline ≤ 7 days; ",""))&amp;(IF($AB13=1,"Action needed from us; ",""))&amp;(IF($AC13=1,"Client feedback overdue; ",""))&amp;(IF($AD13=1,"At iteration limit; ",""))&amp;(IF($AE13=1,"Low margin; ",""))&amp;(IF($AF13=1,"Unpaid invoice; ","")),LEN((IF($Z13=1,"Overdue; ",""))&amp;(IF($AA13=1,"Deadline ≤ 7 days; ",""))&amp;(IF($AB13=1,"Action needed from us; ",""))&amp;(IF($AC13=1,"Client feedback overdue; ",""))&amp;(IF($AD13=1,"At iteration limit; ",""))&amp;(IF($AE13=1,"Low margin; ",""))&amp;(IF($AF13=1,"Unpaid invoice; ","")))-2))</f>
        <v/>
      </c>
      <c r="AI13" s="3" t="str">
        <f aca="false">IF(AND($A13&lt;&gt;"",$J13&lt;&gt;"Completed",$J13&lt;&gt;"On Hold"),$F13*1000+(ROW()-ROW($A$5)+1),"")</f>
        <v/>
      </c>
      <c r="AJ13" s="3" t="str">
        <f aca="false">IF($AG13=1,ROW()-ROW($A$5)+1,"")</f>
        <v/>
      </c>
      <c r="AK13" s="35"/>
    </row>
    <row r="14" customFormat="false" ht="25.5" hidden="false" customHeight="true" outlineLevel="0" collapsed="false">
      <c r="A14" s="30"/>
      <c r="B14" s="30"/>
      <c r="C14" s="20" t="str">
        <f aca="false">IFERROR(INDEX(Clients!$B$5:$B$44,MATCH($B14,Clients!$A$5:$A$44,0)),"")</f>
        <v/>
      </c>
      <c r="D14" s="30"/>
      <c r="E14" s="31"/>
      <c r="F14" s="31"/>
      <c r="G14" s="20" t="str">
        <f aca="true">IF($A14="","",$F14-TODAY())</f>
        <v/>
      </c>
      <c r="H14" s="30"/>
      <c r="I14" s="30"/>
      <c r="J14" s="20" t="str">
        <f aca="false">IF($A14="","",_xlfn.IFS(OR($W14="Yes",$H14="Complete"),"Completed",$H14="On Hold","On Hold",$G14&lt;0,"Overdue",$O14="Client","Waiting on Client",$G14&lt;=7,"At Risk",TRUE(),"On Track"))</f>
        <v/>
      </c>
      <c r="K14" s="20" t="str">
        <f aca="false">IF($A14="","",IFERROR(_xlfn.MAXIFS('Iteration Tracker'!$D$5:$D$124,'Iteration Tracker'!$A$5:$A$124,$A14),0))</f>
        <v/>
      </c>
      <c r="L14" s="30"/>
      <c r="M14" s="20" t="str">
        <f aca="false">IF($A14="","",$L14-$K14)</f>
        <v/>
      </c>
      <c r="N14" s="31"/>
      <c r="O14" s="30"/>
      <c r="P14" s="34"/>
      <c r="Q14" s="31"/>
      <c r="R14" s="20" t="str">
        <f aca="true">IF($A14="","",IF($N14="","",TODAY()-$N14))</f>
        <v/>
      </c>
      <c r="S14" s="30"/>
      <c r="T14" s="30"/>
      <c r="U14" s="30"/>
      <c r="V14" s="30"/>
      <c r="W14" s="30"/>
      <c r="X14" s="34"/>
      <c r="Z14" s="3" t="n">
        <f aca="false">IF($A14="",0,IF(AND($G14&lt;0,$J14&lt;&gt;"Completed",$J14&lt;&gt;"On Hold"),1,0))</f>
        <v>0</v>
      </c>
      <c r="AA14" s="3" t="n">
        <f aca="false">IF($A14="",0,IF(AND($G14&gt;=0,$G14&lt;=7,$J14&lt;&gt;"Completed",$J14&lt;&gt;"On Hold"),1,0))</f>
        <v>0</v>
      </c>
      <c r="AB14" s="3" t="n">
        <f aca="false">IF($A14="",0,IF(AND($O14="Us",$J14&lt;&gt;"Completed"),1,0))</f>
        <v>0</v>
      </c>
      <c r="AC14" s="3" t="n">
        <f aca="false">IF($A14="",0,IF(AND($H14="Awaiting Feedback",$R14&lt;&gt;"",$R14&gt;7),1,0))</f>
        <v>0</v>
      </c>
      <c r="AD14" s="3" t="n">
        <f aca="false">IF($A14="",0,IF(AND($M14&lt;&gt;"",$M14&lt;=1,$J14&lt;&gt;"Completed"),1,0))</f>
        <v>0</v>
      </c>
      <c r="AE14" s="3" t="n">
        <f aca="false">IFERROR(IF(AND($A14&lt;&gt;"",INDEX('Project Financials'!$AC$5:$AC$64,MATCH($A14,'Project Financials'!$A$5:$A$64,0))&lt;0.2,INDEX('Project Financials'!$D$5:$D$64,MATCH($A14,'Project Financials'!$A$5:$A$64,0))&gt;0),1,0),0)</f>
        <v>0</v>
      </c>
      <c r="AF14" s="3" t="n">
        <f aca="false">IFERROR(IF(OR(INDEX(Payments!$N$5:$N$64,MATCH($A14,Payments!$B$5:$B$64,0))="Overdue",INDEX(Payments!$N$5:$N$64,MATCH($A14,Payments!$B$5:$B$64,0))="Awaiting Deposit"),1,0),0)</f>
        <v>0</v>
      </c>
      <c r="AG14" s="3" t="n">
        <f aca="false">IF($A14="",0,IF(SUM(Z14:AF14)&gt;0,1,0))</f>
        <v>0</v>
      </c>
      <c r="AH14" s="3" t="str">
        <f aca="false">IF($AG14=0,"",LEFT((IF($Z14=1,"Overdue; ",""))&amp;(IF($AA14=1,"Deadline ≤ 7 days; ",""))&amp;(IF($AB14=1,"Action needed from us; ",""))&amp;(IF($AC14=1,"Client feedback overdue; ",""))&amp;(IF($AD14=1,"At iteration limit; ",""))&amp;(IF($AE14=1,"Low margin; ",""))&amp;(IF($AF14=1,"Unpaid invoice; ","")),LEN((IF($Z14=1,"Overdue; ",""))&amp;(IF($AA14=1,"Deadline ≤ 7 days; ",""))&amp;(IF($AB14=1,"Action needed from us; ",""))&amp;(IF($AC14=1,"Client feedback overdue; ",""))&amp;(IF($AD14=1,"At iteration limit; ",""))&amp;(IF($AE14=1,"Low margin; ",""))&amp;(IF($AF14=1,"Unpaid invoice; ","")))-2))</f>
        <v/>
      </c>
      <c r="AI14" s="3" t="str">
        <f aca="false">IF(AND($A14&lt;&gt;"",$J14&lt;&gt;"Completed",$J14&lt;&gt;"On Hold"),$F14*1000+(ROW()-ROW($A$5)+1),"")</f>
        <v/>
      </c>
      <c r="AJ14" s="3" t="str">
        <f aca="false">IF($AG14=1,ROW()-ROW($A$5)+1,"")</f>
        <v/>
      </c>
      <c r="AK14" s="35"/>
    </row>
    <row r="15" customFormat="false" ht="25.5" hidden="false" customHeight="true" outlineLevel="0" collapsed="false">
      <c r="A15" s="30"/>
      <c r="B15" s="30"/>
      <c r="C15" s="20" t="str">
        <f aca="false">IFERROR(INDEX(Clients!$B$5:$B$44,MATCH($B15,Clients!$A$5:$A$44,0)),"")</f>
        <v/>
      </c>
      <c r="D15" s="30"/>
      <c r="E15" s="31"/>
      <c r="F15" s="31"/>
      <c r="G15" s="20" t="str">
        <f aca="true">IF($A15="","",$F15-TODAY())</f>
        <v/>
      </c>
      <c r="H15" s="30"/>
      <c r="I15" s="30"/>
      <c r="J15" s="20" t="str">
        <f aca="false">IF($A15="","",_xlfn.IFS(OR($W15="Yes",$H15="Complete"),"Completed",$H15="On Hold","On Hold",$G15&lt;0,"Overdue",$O15="Client","Waiting on Client",$G15&lt;=7,"At Risk",TRUE(),"On Track"))</f>
        <v/>
      </c>
      <c r="K15" s="20" t="str">
        <f aca="false">IF($A15="","",IFERROR(_xlfn.MAXIFS('Iteration Tracker'!$D$5:$D$124,'Iteration Tracker'!$A$5:$A$124,$A15),0))</f>
        <v/>
      </c>
      <c r="L15" s="30"/>
      <c r="M15" s="20" t="str">
        <f aca="false">IF($A15="","",$L15-$K15)</f>
        <v/>
      </c>
      <c r="N15" s="31"/>
      <c r="O15" s="30"/>
      <c r="P15" s="34"/>
      <c r="Q15" s="31"/>
      <c r="R15" s="20" t="str">
        <f aca="true">IF($A15="","",IF($N15="","",TODAY()-$N15))</f>
        <v/>
      </c>
      <c r="S15" s="30"/>
      <c r="T15" s="30"/>
      <c r="U15" s="30"/>
      <c r="V15" s="30"/>
      <c r="W15" s="30"/>
      <c r="X15" s="34"/>
      <c r="Z15" s="3" t="n">
        <f aca="false">IF($A15="",0,IF(AND($G15&lt;0,$J15&lt;&gt;"Completed",$J15&lt;&gt;"On Hold"),1,0))</f>
        <v>0</v>
      </c>
      <c r="AA15" s="3" t="n">
        <f aca="false">IF($A15="",0,IF(AND($G15&gt;=0,$G15&lt;=7,$J15&lt;&gt;"Completed",$J15&lt;&gt;"On Hold"),1,0))</f>
        <v>0</v>
      </c>
      <c r="AB15" s="3" t="n">
        <f aca="false">IF($A15="",0,IF(AND($O15="Us",$J15&lt;&gt;"Completed"),1,0))</f>
        <v>0</v>
      </c>
      <c r="AC15" s="3" t="n">
        <f aca="false">IF($A15="",0,IF(AND($H15="Awaiting Feedback",$R15&lt;&gt;"",$R15&gt;7),1,0))</f>
        <v>0</v>
      </c>
      <c r="AD15" s="3" t="n">
        <f aca="false">IF($A15="",0,IF(AND($M15&lt;&gt;"",$M15&lt;=1,$J15&lt;&gt;"Completed"),1,0))</f>
        <v>0</v>
      </c>
      <c r="AE15" s="3" t="n">
        <f aca="false">IFERROR(IF(AND($A15&lt;&gt;"",INDEX('Project Financials'!$AC$5:$AC$64,MATCH($A15,'Project Financials'!$A$5:$A$64,0))&lt;0.2,INDEX('Project Financials'!$D$5:$D$64,MATCH($A15,'Project Financials'!$A$5:$A$64,0))&gt;0),1,0),0)</f>
        <v>0</v>
      </c>
      <c r="AF15" s="3" t="n">
        <f aca="false">IFERROR(IF(OR(INDEX(Payments!$N$5:$N$64,MATCH($A15,Payments!$B$5:$B$64,0))="Overdue",INDEX(Payments!$N$5:$N$64,MATCH($A15,Payments!$B$5:$B$64,0))="Awaiting Deposit"),1,0),0)</f>
        <v>0</v>
      </c>
      <c r="AG15" s="3" t="n">
        <f aca="false">IF($A15="",0,IF(SUM(Z15:AF15)&gt;0,1,0))</f>
        <v>0</v>
      </c>
      <c r="AH15" s="3" t="str">
        <f aca="false">IF($AG15=0,"",LEFT((IF($Z15=1,"Overdue; ",""))&amp;(IF($AA15=1,"Deadline ≤ 7 days; ",""))&amp;(IF($AB15=1,"Action needed from us; ",""))&amp;(IF($AC15=1,"Client feedback overdue; ",""))&amp;(IF($AD15=1,"At iteration limit; ",""))&amp;(IF($AE15=1,"Low margin; ",""))&amp;(IF($AF15=1,"Unpaid invoice; ","")),LEN((IF($Z15=1,"Overdue; ",""))&amp;(IF($AA15=1,"Deadline ≤ 7 days; ",""))&amp;(IF($AB15=1,"Action needed from us; ",""))&amp;(IF($AC15=1,"Client feedback overdue; ",""))&amp;(IF($AD15=1,"At iteration limit; ",""))&amp;(IF($AE15=1,"Low margin; ",""))&amp;(IF($AF15=1,"Unpaid invoice; ","")))-2))</f>
        <v/>
      </c>
      <c r="AI15" s="3" t="str">
        <f aca="false">IF(AND($A15&lt;&gt;"",$J15&lt;&gt;"Completed",$J15&lt;&gt;"On Hold"),$F15*1000+(ROW()-ROW($A$5)+1),"")</f>
        <v/>
      </c>
      <c r="AJ15" s="3" t="str">
        <f aca="false">IF($AG15=1,ROW()-ROW($A$5)+1,"")</f>
        <v/>
      </c>
      <c r="AK15" s="35"/>
    </row>
    <row r="16" customFormat="false" ht="25.5" hidden="false" customHeight="true" outlineLevel="0" collapsed="false">
      <c r="A16" s="30"/>
      <c r="B16" s="30"/>
      <c r="C16" s="20" t="str">
        <f aca="false">IFERROR(INDEX(Clients!$B$5:$B$44,MATCH($B16,Clients!$A$5:$A$44,0)),"")</f>
        <v/>
      </c>
      <c r="D16" s="30"/>
      <c r="E16" s="31"/>
      <c r="F16" s="31"/>
      <c r="G16" s="20" t="str">
        <f aca="true">IF($A16="","",$F16-TODAY())</f>
        <v/>
      </c>
      <c r="H16" s="30"/>
      <c r="I16" s="30"/>
      <c r="J16" s="20" t="str">
        <f aca="false">IF($A16="","",_xlfn.IFS(OR($W16="Yes",$H16="Complete"),"Completed",$H16="On Hold","On Hold",$G16&lt;0,"Overdue",$O16="Client","Waiting on Client",$G16&lt;=7,"At Risk",TRUE(),"On Track"))</f>
        <v/>
      </c>
      <c r="K16" s="20" t="str">
        <f aca="false">IF($A16="","",IFERROR(_xlfn.MAXIFS('Iteration Tracker'!$D$5:$D$124,'Iteration Tracker'!$A$5:$A$124,$A16),0))</f>
        <v/>
      </c>
      <c r="L16" s="30"/>
      <c r="M16" s="20" t="str">
        <f aca="false">IF($A16="","",$L16-$K16)</f>
        <v/>
      </c>
      <c r="N16" s="31"/>
      <c r="O16" s="30"/>
      <c r="P16" s="34"/>
      <c r="Q16" s="31"/>
      <c r="R16" s="20" t="str">
        <f aca="true">IF($A16="","",IF($N16="","",TODAY()-$N16))</f>
        <v/>
      </c>
      <c r="S16" s="30"/>
      <c r="T16" s="30"/>
      <c r="U16" s="30"/>
      <c r="V16" s="30"/>
      <c r="W16" s="30"/>
      <c r="X16" s="34"/>
      <c r="Z16" s="3" t="n">
        <f aca="false">IF($A16="",0,IF(AND($G16&lt;0,$J16&lt;&gt;"Completed",$J16&lt;&gt;"On Hold"),1,0))</f>
        <v>0</v>
      </c>
      <c r="AA16" s="3" t="n">
        <f aca="false">IF($A16="",0,IF(AND($G16&gt;=0,$G16&lt;=7,$J16&lt;&gt;"Completed",$J16&lt;&gt;"On Hold"),1,0))</f>
        <v>0</v>
      </c>
      <c r="AB16" s="3" t="n">
        <f aca="false">IF($A16="",0,IF(AND($O16="Us",$J16&lt;&gt;"Completed"),1,0))</f>
        <v>0</v>
      </c>
      <c r="AC16" s="3" t="n">
        <f aca="false">IF($A16="",0,IF(AND($H16="Awaiting Feedback",$R16&lt;&gt;"",$R16&gt;7),1,0))</f>
        <v>0</v>
      </c>
      <c r="AD16" s="3" t="n">
        <f aca="false">IF($A16="",0,IF(AND($M16&lt;&gt;"",$M16&lt;=1,$J16&lt;&gt;"Completed"),1,0))</f>
        <v>0</v>
      </c>
      <c r="AE16" s="3" t="n">
        <f aca="false">IFERROR(IF(AND($A16&lt;&gt;"",INDEX('Project Financials'!$AC$5:$AC$64,MATCH($A16,'Project Financials'!$A$5:$A$64,0))&lt;0.2,INDEX('Project Financials'!$D$5:$D$64,MATCH($A16,'Project Financials'!$A$5:$A$64,0))&gt;0),1,0),0)</f>
        <v>0</v>
      </c>
      <c r="AF16" s="3" t="n">
        <f aca="false">IFERROR(IF(OR(INDEX(Payments!$N$5:$N$64,MATCH($A16,Payments!$B$5:$B$64,0))="Overdue",INDEX(Payments!$N$5:$N$64,MATCH($A16,Payments!$B$5:$B$64,0))="Awaiting Deposit"),1,0),0)</f>
        <v>0</v>
      </c>
      <c r="AG16" s="3" t="n">
        <f aca="false">IF($A16="",0,IF(SUM(Z16:AF16)&gt;0,1,0))</f>
        <v>0</v>
      </c>
      <c r="AH16" s="3" t="str">
        <f aca="false">IF($AG16=0,"",LEFT((IF($Z16=1,"Overdue; ",""))&amp;(IF($AA16=1,"Deadline ≤ 7 days; ",""))&amp;(IF($AB16=1,"Action needed from us; ",""))&amp;(IF($AC16=1,"Client feedback overdue; ",""))&amp;(IF($AD16=1,"At iteration limit; ",""))&amp;(IF($AE16=1,"Low margin; ",""))&amp;(IF($AF16=1,"Unpaid invoice; ","")),LEN((IF($Z16=1,"Overdue; ",""))&amp;(IF($AA16=1,"Deadline ≤ 7 days; ",""))&amp;(IF($AB16=1,"Action needed from us; ",""))&amp;(IF($AC16=1,"Client feedback overdue; ",""))&amp;(IF($AD16=1,"At iteration limit; ",""))&amp;(IF($AE16=1,"Low margin; ",""))&amp;(IF($AF16=1,"Unpaid invoice; ","")))-2))</f>
        <v/>
      </c>
      <c r="AI16" s="3" t="str">
        <f aca="false">IF(AND($A16&lt;&gt;"",$J16&lt;&gt;"Completed",$J16&lt;&gt;"On Hold"),$F16*1000+(ROW()-ROW($A$5)+1),"")</f>
        <v/>
      </c>
      <c r="AJ16" s="3" t="str">
        <f aca="false">IF($AG16=1,ROW()-ROW($A$5)+1,"")</f>
        <v/>
      </c>
      <c r="AK16" s="35"/>
    </row>
    <row r="17" customFormat="false" ht="25.5" hidden="false" customHeight="true" outlineLevel="0" collapsed="false">
      <c r="A17" s="30"/>
      <c r="B17" s="30"/>
      <c r="C17" s="20" t="str">
        <f aca="false">IFERROR(INDEX(Clients!$B$5:$B$44,MATCH($B17,Clients!$A$5:$A$44,0)),"")</f>
        <v/>
      </c>
      <c r="D17" s="30"/>
      <c r="E17" s="31"/>
      <c r="F17" s="31"/>
      <c r="G17" s="20" t="str">
        <f aca="true">IF($A17="","",$F17-TODAY())</f>
        <v/>
      </c>
      <c r="H17" s="30"/>
      <c r="I17" s="30"/>
      <c r="J17" s="20" t="str">
        <f aca="false">IF($A17="","",_xlfn.IFS(OR($W17="Yes",$H17="Complete"),"Completed",$H17="On Hold","On Hold",$G17&lt;0,"Overdue",$O17="Client","Waiting on Client",$G17&lt;=7,"At Risk",TRUE(),"On Track"))</f>
        <v/>
      </c>
      <c r="K17" s="20" t="str">
        <f aca="false">IF($A17="","",IFERROR(_xlfn.MAXIFS('Iteration Tracker'!$D$5:$D$124,'Iteration Tracker'!$A$5:$A$124,$A17),0))</f>
        <v/>
      </c>
      <c r="L17" s="30"/>
      <c r="M17" s="20" t="str">
        <f aca="false">IF($A17="","",$L17-$K17)</f>
        <v/>
      </c>
      <c r="N17" s="31"/>
      <c r="O17" s="30"/>
      <c r="P17" s="34"/>
      <c r="Q17" s="31"/>
      <c r="R17" s="20" t="str">
        <f aca="true">IF($A17="","",IF($N17="","",TODAY()-$N17))</f>
        <v/>
      </c>
      <c r="S17" s="30"/>
      <c r="T17" s="30"/>
      <c r="U17" s="30"/>
      <c r="V17" s="30"/>
      <c r="W17" s="30"/>
      <c r="X17" s="34"/>
      <c r="Z17" s="3" t="n">
        <f aca="false">IF($A17="",0,IF(AND($G17&lt;0,$J17&lt;&gt;"Completed",$J17&lt;&gt;"On Hold"),1,0))</f>
        <v>0</v>
      </c>
      <c r="AA17" s="3" t="n">
        <f aca="false">IF($A17="",0,IF(AND($G17&gt;=0,$G17&lt;=7,$J17&lt;&gt;"Completed",$J17&lt;&gt;"On Hold"),1,0))</f>
        <v>0</v>
      </c>
      <c r="AB17" s="3" t="n">
        <f aca="false">IF($A17="",0,IF(AND($O17="Us",$J17&lt;&gt;"Completed"),1,0))</f>
        <v>0</v>
      </c>
      <c r="AC17" s="3" t="n">
        <f aca="false">IF($A17="",0,IF(AND($H17="Awaiting Feedback",$R17&lt;&gt;"",$R17&gt;7),1,0))</f>
        <v>0</v>
      </c>
      <c r="AD17" s="3" t="n">
        <f aca="false">IF($A17="",0,IF(AND($M17&lt;&gt;"",$M17&lt;=1,$J17&lt;&gt;"Completed"),1,0))</f>
        <v>0</v>
      </c>
      <c r="AE17" s="3" t="n">
        <f aca="false">IFERROR(IF(AND($A17&lt;&gt;"",INDEX('Project Financials'!$AC$5:$AC$64,MATCH($A17,'Project Financials'!$A$5:$A$64,0))&lt;0.2,INDEX('Project Financials'!$D$5:$D$64,MATCH($A17,'Project Financials'!$A$5:$A$64,0))&gt;0),1,0),0)</f>
        <v>0</v>
      </c>
      <c r="AF17" s="3" t="n">
        <f aca="false">IFERROR(IF(OR(INDEX(Payments!$N$5:$N$64,MATCH($A17,Payments!$B$5:$B$64,0))="Overdue",INDEX(Payments!$N$5:$N$64,MATCH($A17,Payments!$B$5:$B$64,0))="Awaiting Deposit"),1,0),0)</f>
        <v>0</v>
      </c>
      <c r="AG17" s="3" t="n">
        <f aca="false">IF($A17="",0,IF(SUM(Z17:AF17)&gt;0,1,0))</f>
        <v>0</v>
      </c>
      <c r="AH17" s="3" t="str">
        <f aca="false">IF($AG17=0,"",LEFT((IF($Z17=1,"Overdue; ",""))&amp;(IF($AA17=1,"Deadline ≤ 7 days; ",""))&amp;(IF($AB17=1,"Action needed from us; ",""))&amp;(IF($AC17=1,"Client feedback overdue; ",""))&amp;(IF($AD17=1,"At iteration limit; ",""))&amp;(IF($AE17=1,"Low margin; ",""))&amp;(IF($AF17=1,"Unpaid invoice; ","")),LEN((IF($Z17=1,"Overdue; ",""))&amp;(IF($AA17=1,"Deadline ≤ 7 days; ",""))&amp;(IF($AB17=1,"Action needed from us; ",""))&amp;(IF($AC17=1,"Client feedback overdue; ",""))&amp;(IF($AD17=1,"At iteration limit; ",""))&amp;(IF($AE17=1,"Low margin; ",""))&amp;(IF($AF17=1,"Unpaid invoice; ","")))-2))</f>
        <v/>
      </c>
      <c r="AI17" s="3" t="str">
        <f aca="false">IF(AND($A17&lt;&gt;"",$J17&lt;&gt;"Completed",$J17&lt;&gt;"On Hold"),$F17*1000+(ROW()-ROW($A$5)+1),"")</f>
        <v/>
      </c>
      <c r="AJ17" s="3" t="str">
        <f aca="false">IF($AG17=1,ROW()-ROW($A$5)+1,"")</f>
        <v/>
      </c>
      <c r="AK17" s="35"/>
    </row>
    <row r="18" customFormat="false" ht="25.5" hidden="false" customHeight="true" outlineLevel="0" collapsed="false">
      <c r="A18" s="30"/>
      <c r="B18" s="30"/>
      <c r="C18" s="20" t="str">
        <f aca="false">IFERROR(INDEX(Clients!$B$5:$B$44,MATCH($B18,Clients!$A$5:$A$44,0)),"")</f>
        <v/>
      </c>
      <c r="D18" s="30"/>
      <c r="E18" s="31"/>
      <c r="F18" s="31"/>
      <c r="G18" s="20" t="str">
        <f aca="true">IF($A18="","",$F18-TODAY())</f>
        <v/>
      </c>
      <c r="H18" s="30"/>
      <c r="I18" s="30"/>
      <c r="J18" s="20" t="str">
        <f aca="false">IF($A18="","",_xlfn.IFS(OR($W18="Yes",$H18="Complete"),"Completed",$H18="On Hold","On Hold",$G18&lt;0,"Overdue",$O18="Client","Waiting on Client",$G18&lt;=7,"At Risk",TRUE(),"On Track"))</f>
        <v/>
      </c>
      <c r="K18" s="20" t="str">
        <f aca="false">IF($A18="","",IFERROR(_xlfn.MAXIFS('Iteration Tracker'!$D$5:$D$124,'Iteration Tracker'!$A$5:$A$124,$A18),0))</f>
        <v/>
      </c>
      <c r="L18" s="30"/>
      <c r="M18" s="20" t="str">
        <f aca="false">IF($A18="","",$L18-$K18)</f>
        <v/>
      </c>
      <c r="N18" s="31"/>
      <c r="O18" s="30"/>
      <c r="P18" s="34"/>
      <c r="Q18" s="31"/>
      <c r="R18" s="20" t="str">
        <f aca="true">IF($A18="","",IF($N18="","",TODAY()-$N18))</f>
        <v/>
      </c>
      <c r="S18" s="30"/>
      <c r="T18" s="30"/>
      <c r="U18" s="30"/>
      <c r="V18" s="30"/>
      <c r="W18" s="30"/>
      <c r="X18" s="34"/>
      <c r="Z18" s="3" t="n">
        <f aca="false">IF($A18="",0,IF(AND($G18&lt;0,$J18&lt;&gt;"Completed",$J18&lt;&gt;"On Hold"),1,0))</f>
        <v>0</v>
      </c>
      <c r="AA18" s="3" t="n">
        <f aca="false">IF($A18="",0,IF(AND($G18&gt;=0,$G18&lt;=7,$J18&lt;&gt;"Completed",$J18&lt;&gt;"On Hold"),1,0))</f>
        <v>0</v>
      </c>
      <c r="AB18" s="3" t="n">
        <f aca="false">IF($A18="",0,IF(AND($O18="Us",$J18&lt;&gt;"Completed"),1,0))</f>
        <v>0</v>
      </c>
      <c r="AC18" s="3" t="n">
        <f aca="false">IF($A18="",0,IF(AND($H18="Awaiting Feedback",$R18&lt;&gt;"",$R18&gt;7),1,0))</f>
        <v>0</v>
      </c>
      <c r="AD18" s="3" t="n">
        <f aca="false">IF($A18="",0,IF(AND($M18&lt;&gt;"",$M18&lt;=1,$J18&lt;&gt;"Completed"),1,0))</f>
        <v>0</v>
      </c>
      <c r="AE18" s="3" t="n">
        <f aca="false">IFERROR(IF(AND($A18&lt;&gt;"",INDEX('Project Financials'!$AC$5:$AC$64,MATCH($A18,'Project Financials'!$A$5:$A$64,0))&lt;0.2,INDEX('Project Financials'!$D$5:$D$64,MATCH($A18,'Project Financials'!$A$5:$A$64,0))&gt;0),1,0),0)</f>
        <v>0</v>
      </c>
      <c r="AF18" s="3" t="n">
        <f aca="false">IFERROR(IF(OR(INDEX(Payments!$N$5:$N$64,MATCH($A18,Payments!$B$5:$B$64,0))="Overdue",INDEX(Payments!$N$5:$N$64,MATCH($A18,Payments!$B$5:$B$64,0))="Awaiting Deposit"),1,0),0)</f>
        <v>0</v>
      </c>
      <c r="AG18" s="3" t="n">
        <f aca="false">IF($A18="",0,IF(SUM(Z18:AF18)&gt;0,1,0))</f>
        <v>0</v>
      </c>
      <c r="AH18" s="3" t="str">
        <f aca="false">IF($AG18=0,"",LEFT((IF($Z18=1,"Overdue; ",""))&amp;(IF($AA18=1,"Deadline ≤ 7 days; ",""))&amp;(IF($AB18=1,"Action needed from us; ",""))&amp;(IF($AC18=1,"Client feedback overdue; ",""))&amp;(IF($AD18=1,"At iteration limit; ",""))&amp;(IF($AE18=1,"Low margin; ",""))&amp;(IF($AF18=1,"Unpaid invoice; ","")),LEN((IF($Z18=1,"Overdue; ",""))&amp;(IF($AA18=1,"Deadline ≤ 7 days; ",""))&amp;(IF($AB18=1,"Action needed from us; ",""))&amp;(IF($AC18=1,"Client feedback overdue; ",""))&amp;(IF($AD18=1,"At iteration limit; ",""))&amp;(IF($AE18=1,"Low margin; ",""))&amp;(IF($AF18=1,"Unpaid invoice; ","")))-2))</f>
        <v/>
      </c>
      <c r="AI18" s="3" t="str">
        <f aca="false">IF(AND($A18&lt;&gt;"",$J18&lt;&gt;"Completed",$J18&lt;&gt;"On Hold"),$F18*1000+(ROW()-ROW($A$5)+1),"")</f>
        <v/>
      </c>
      <c r="AJ18" s="3" t="str">
        <f aca="false">IF($AG18=1,ROW()-ROW($A$5)+1,"")</f>
        <v/>
      </c>
      <c r="AK18" s="35"/>
    </row>
    <row r="19" customFormat="false" ht="25.5" hidden="false" customHeight="true" outlineLevel="0" collapsed="false">
      <c r="A19" s="30"/>
      <c r="B19" s="30"/>
      <c r="C19" s="20" t="str">
        <f aca="false">IFERROR(INDEX(Clients!$B$5:$B$44,MATCH($B19,Clients!$A$5:$A$44,0)),"")</f>
        <v/>
      </c>
      <c r="D19" s="30"/>
      <c r="E19" s="31"/>
      <c r="F19" s="31"/>
      <c r="G19" s="20" t="str">
        <f aca="true">IF($A19="","",$F19-TODAY())</f>
        <v/>
      </c>
      <c r="H19" s="30"/>
      <c r="I19" s="30"/>
      <c r="J19" s="20" t="str">
        <f aca="false">IF($A19="","",_xlfn.IFS(OR($W19="Yes",$H19="Complete"),"Completed",$H19="On Hold","On Hold",$G19&lt;0,"Overdue",$O19="Client","Waiting on Client",$G19&lt;=7,"At Risk",TRUE(),"On Track"))</f>
        <v/>
      </c>
      <c r="K19" s="20" t="str">
        <f aca="false">IF($A19="","",IFERROR(_xlfn.MAXIFS('Iteration Tracker'!$D$5:$D$124,'Iteration Tracker'!$A$5:$A$124,$A19),0))</f>
        <v/>
      </c>
      <c r="L19" s="30"/>
      <c r="M19" s="20" t="str">
        <f aca="false">IF($A19="","",$L19-$K19)</f>
        <v/>
      </c>
      <c r="N19" s="31"/>
      <c r="O19" s="30"/>
      <c r="P19" s="34"/>
      <c r="Q19" s="31"/>
      <c r="R19" s="20" t="str">
        <f aca="true">IF($A19="","",IF($N19="","",TODAY()-$N19))</f>
        <v/>
      </c>
      <c r="S19" s="30"/>
      <c r="T19" s="30"/>
      <c r="U19" s="30"/>
      <c r="V19" s="30"/>
      <c r="W19" s="30"/>
      <c r="X19" s="34"/>
      <c r="Z19" s="3" t="n">
        <f aca="false">IF($A19="",0,IF(AND($G19&lt;0,$J19&lt;&gt;"Completed",$J19&lt;&gt;"On Hold"),1,0))</f>
        <v>0</v>
      </c>
      <c r="AA19" s="3" t="n">
        <f aca="false">IF($A19="",0,IF(AND($G19&gt;=0,$G19&lt;=7,$J19&lt;&gt;"Completed",$J19&lt;&gt;"On Hold"),1,0))</f>
        <v>0</v>
      </c>
      <c r="AB19" s="3" t="n">
        <f aca="false">IF($A19="",0,IF(AND($O19="Us",$J19&lt;&gt;"Completed"),1,0))</f>
        <v>0</v>
      </c>
      <c r="AC19" s="3" t="n">
        <f aca="false">IF($A19="",0,IF(AND($H19="Awaiting Feedback",$R19&lt;&gt;"",$R19&gt;7),1,0))</f>
        <v>0</v>
      </c>
      <c r="AD19" s="3" t="n">
        <f aca="false">IF($A19="",0,IF(AND($M19&lt;&gt;"",$M19&lt;=1,$J19&lt;&gt;"Completed"),1,0))</f>
        <v>0</v>
      </c>
      <c r="AE19" s="3" t="n">
        <f aca="false">IFERROR(IF(AND($A19&lt;&gt;"",INDEX('Project Financials'!$AC$5:$AC$64,MATCH($A19,'Project Financials'!$A$5:$A$64,0))&lt;0.2,INDEX('Project Financials'!$D$5:$D$64,MATCH($A19,'Project Financials'!$A$5:$A$64,0))&gt;0),1,0),0)</f>
        <v>0</v>
      </c>
      <c r="AF19" s="3" t="n">
        <f aca="false">IFERROR(IF(OR(INDEX(Payments!$N$5:$N$64,MATCH($A19,Payments!$B$5:$B$64,0))="Overdue",INDEX(Payments!$N$5:$N$64,MATCH($A19,Payments!$B$5:$B$64,0))="Awaiting Deposit"),1,0),0)</f>
        <v>0</v>
      </c>
      <c r="AG19" s="3" t="n">
        <f aca="false">IF($A19="",0,IF(SUM(Z19:AF19)&gt;0,1,0))</f>
        <v>0</v>
      </c>
      <c r="AH19" s="3" t="str">
        <f aca="false">IF($AG19=0,"",LEFT((IF($Z19=1,"Overdue; ",""))&amp;(IF($AA19=1,"Deadline ≤ 7 days; ",""))&amp;(IF($AB19=1,"Action needed from us; ",""))&amp;(IF($AC19=1,"Client feedback overdue; ",""))&amp;(IF($AD19=1,"At iteration limit; ",""))&amp;(IF($AE19=1,"Low margin; ",""))&amp;(IF($AF19=1,"Unpaid invoice; ","")),LEN((IF($Z19=1,"Overdue; ",""))&amp;(IF($AA19=1,"Deadline ≤ 7 days; ",""))&amp;(IF($AB19=1,"Action needed from us; ",""))&amp;(IF($AC19=1,"Client feedback overdue; ",""))&amp;(IF($AD19=1,"At iteration limit; ",""))&amp;(IF($AE19=1,"Low margin; ",""))&amp;(IF($AF19=1,"Unpaid invoice; ","")))-2))</f>
        <v/>
      </c>
      <c r="AI19" s="3" t="str">
        <f aca="false">IF(AND($A19&lt;&gt;"",$J19&lt;&gt;"Completed",$J19&lt;&gt;"On Hold"),$F19*1000+(ROW()-ROW($A$5)+1),"")</f>
        <v/>
      </c>
      <c r="AJ19" s="3" t="str">
        <f aca="false">IF($AG19=1,ROW()-ROW($A$5)+1,"")</f>
        <v/>
      </c>
      <c r="AK19" s="35"/>
    </row>
    <row r="20" customFormat="false" ht="25.5" hidden="false" customHeight="true" outlineLevel="0" collapsed="false">
      <c r="A20" s="30"/>
      <c r="B20" s="30"/>
      <c r="C20" s="20" t="str">
        <f aca="false">IFERROR(INDEX(Clients!$B$5:$B$44,MATCH($B20,Clients!$A$5:$A$44,0)),"")</f>
        <v/>
      </c>
      <c r="D20" s="30"/>
      <c r="E20" s="31"/>
      <c r="F20" s="31"/>
      <c r="G20" s="20" t="str">
        <f aca="true">IF($A20="","",$F20-TODAY())</f>
        <v/>
      </c>
      <c r="H20" s="30"/>
      <c r="I20" s="30"/>
      <c r="J20" s="20" t="str">
        <f aca="false">IF($A20="","",_xlfn.IFS(OR($W20="Yes",$H20="Complete"),"Completed",$H20="On Hold","On Hold",$G20&lt;0,"Overdue",$O20="Client","Waiting on Client",$G20&lt;=7,"At Risk",TRUE(),"On Track"))</f>
        <v/>
      </c>
      <c r="K20" s="20" t="str">
        <f aca="false">IF($A20="","",IFERROR(_xlfn.MAXIFS('Iteration Tracker'!$D$5:$D$124,'Iteration Tracker'!$A$5:$A$124,$A20),0))</f>
        <v/>
      </c>
      <c r="L20" s="30"/>
      <c r="M20" s="20" t="str">
        <f aca="false">IF($A20="","",$L20-$K20)</f>
        <v/>
      </c>
      <c r="N20" s="31"/>
      <c r="O20" s="30"/>
      <c r="P20" s="34"/>
      <c r="Q20" s="31"/>
      <c r="R20" s="20" t="str">
        <f aca="true">IF($A20="","",IF($N20="","",TODAY()-$N20))</f>
        <v/>
      </c>
      <c r="S20" s="30"/>
      <c r="T20" s="30"/>
      <c r="U20" s="30"/>
      <c r="V20" s="30"/>
      <c r="W20" s="30"/>
      <c r="X20" s="34"/>
      <c r="Z20" s="3" t="n">
        <f aca="false">IF($A20="",0,IF(AND($G20&lt;0,$J20&lt;&gt;"Completed",$J20&lt;&gt;"On Hold"),1,0))</f>
        <v>0</v>
      </c>
      <c r="AA20" s="3" t="n">
        <f aca="false">IF($A20="",0,IF(AND($G20&gt;=0,$G20&lt;=7,$J20&lt;&gt;"Completed",$J20&lt;&gt;"On Hold"),1,0))</f>
        <v>0</v>
      </c>
      <c r="AB20" s="3" t="n">
        <f aca="false">IF($A20="",0,IF(AND($O20="Us",$J20&lt;&gt;"Completed"),1,0))</f>
        <v>0</v>
      </c>
      <c r="AC20" s="3" t="n">
        <f aca="false">IF($A20="",0,IF(AND($H20="Awaiting Feedback",$R20&lt;&gt;"",$R20&gt;7),1,0))</f>
        <v>0</v>
      </c>
      <c r="AD20" s="3" t="n">
        <f aca="false">IF($A20="",0,IF(AND($M20&lt;&gt;"",$M20&lt;=1,$J20&lt;&gt;"Completed"),1,0))</f>
        <v>0</v>
      </c>
      <c r="AE20" s="3" t="n">
        <f aca="false">IFERROR(IF(AND($A20&lt;&gt;"",INDEX('Project Financials'!$AC$5:$AC$64,MATCH($A20,'Project Financials'!$A$5:$A$64,0))&lt;0.2,INDEX('Project Financials'!$D$5:$D$64,MATCH($A20,'Project Financials'!$A$5:$A$64,0))&gt;0),1,0),0)</f>
        <v>0</v>
      </c>
      <c r="AF20" s="3" t="n">
        <f aca="false">IFERROR(IF(OR(INDEX(Payments!$N$5:$N$64,MATCH($A20,Payments!$B$5:$B$64,0))="Overdue",INDEX(Payments!$N$5:$N$64,MATCH($A20,Payments!$B$5:$B$64,0))="Awaiting Deposit"),1,0),0)</f>
        <v>0</v>
      </c>
      <c r="AG20" s="3" t="n">
        <f aca="false">IF($A20="",0,IF(SUM(Z20:AF20)&gt;0,1,0))</f>
        <v>0</v>
      </c>
      <c r="AH20" s="3" t="str">
        <f aca="false">IF($AG20=0,"",LEFT((IF($Z20=1,"Overdue; ",""))&amp;(IF($AA20=1,"Deadline ≤ 7 days; ",""))&amp;(IF($AB20=1,"Action needed from us; ",""))&amp;(IF($AC20=1,"Client feedback overdue; ",""))&amp;(IF($AD20=1,"At iteration limit; ",""))&amp;(IF($AE20=1,"Low margin; ",""))&amp;(IF($AF20=1,"Unpaid invoice; ","")),LEN((IF($Z20=1,"Overdue; ",""))&amp;(IF($AA20=1,"Deadline ≤ 7 days; ",""))&amp;(IF($AB20=1,"Action needed from us; ",""))&amp;(IF($AC20=1,"Client feedback overdue; ",""))&amp;(IF($AD20=1,"At iteration limit; ",""))&amp;(IF($AE20=1,"Low margin; ",""))&amp;(IF($AF20=1,"Unpaid invoice; ","")))-2))</f>
        <v/>
      </c>
      <c r="AI20" s="3" t="str">
        <f aca="false">IF(AND($A20&lt;&gt;"",$J20&lt;&gt;"Completed",$J20&lt;&gt;"On Hold"),$F20*1000+(ROW()-ROW($A$5)+1),"")</f>
        <v/>
      </c>
      <c r="AJ20" s="3" t="str">
        <f aca="false">IF($AG20=1,ROW()-ROW($A$5)+1,"")</f>
        <v/>
      </c>
      <c r="AK20" s="35"/>
    </row>
    <row r="21" customFormat="false" ht="25.5" hidden="false" customHeight="true" outlineLevel="0" collapsed="false">
      <c r="A21" s="30"/>
      <c r="B21" s="30"/>
      <c r="C21" s="20" t="str">
        <f aca="false">IFERROR(INDEX(Clients!$B$5:$B$44,MATCH($B21,Clients!$A$5:$A$44,0)),"")</f>
        <v/>
      </c>
      <c r="D21" s="30"/>
      <c r="E21" s="31"/>
      <c r="F21" s="31"/>
      <c r="G21" s="20" t="str">
        <f aca="true">IF($A21="","",$F21-TODAY())</f>
        <v/>
      </c>
      <c r="H21" s="30"/>
      <c r="I21" s="30"/>
      <c r="J21" s="20" t="str">
        <f aca="false">IF($A21="","",_xlfn.IFS(OR($W21="Yes",$H21="Complete"),"Completed",$H21="On Hold","On Hold",$G21&lt;0,"Overdue",$O21="Client","Waiting on Client",$G21&lt;=7,"At Risk",TRUE(),"On Track"))</f>
        <v/>
      </c>
      <c r="K21" s="20" t="str">
        <f aca="false">IF($A21="","",IFERROR(_xlfn.MAXIFS('Iteration Tracker'!$D$5:$D$124,'Iteration Tracker'!$A$5:$A$124,$A21),0))</f>
        <v/>
      </c>
      <c r="L21" s="30"/>
      <c r="M21" s="20" t="str">
        <f aca="false">IF($A21="","",$L21-$K21)</f>
        <v/>
      </c>
      <c r="N21" s="31"/>
      <c r="O21" s="30"/>
      <c r="P21" s="34"/>
      <c r="Q21" s="31"/>
      <c r="R21" s="20" t="str">
        <f aca="true">IF($A21="","",IF($N21="","",TODAY()-$N21))</f>
        <v/>
      </c>
      <c r="S21" s="30"/>
      <c r="T21" s="30"/>
      <c r="U21" s="30"/>
      <c r="V21" s="30"/>
      <c r="W21" s="30"/>
      <c r="X21" s="34"/>
      <c r="Z21" s="3" t="n">
        <f aca="false">IF($A21="",0,IF(AND($G21&lt;0,$J21&lt;&gt;"Completed",$J21&lt;&gt;"On Hold"),1,0))</f>
        <v>0</v>
      </c>
      <c r="AA21" s="3" t="n">
        <f aca="false">IF($A21="",0,IF(AND($G21&gt;=0,$G21&lt;=7,$J21&lt;&gt;"Completed",$J21&lt;&gt;"On Hold"),1,0))</f>
        <v>0</v>
      </c>
      <c r="AB21" s="3" t="n">
        <f aca="false">IF($A21="",0,IF(AND($O21="Us",$J21&lt;&gt;"Completed"),1,0))</f>
        <v>0</v>
      </c>
      <c r="AC21" s="3" t="n">
        <f aca="false">IF($A21="",0,IF(AND($H21="Awaiting Feedback",$R21&lt;&gt;"",$R21&gt;7),1,0))</f>
        <v>0</v>
      </c>
      <c r="AD21" s="3" t="n">
        <f aca="false">IF($A21="",0,IF(AND($M21&lt;&gt;"",$M21&lt;=1,$J21&lt;&gt;"Completed"),1,0))</f>
        <v>0</v>
      </c>
      <c r="AE21" s="3" t="n">
        <f aca="false">IFERROR(IF(AND($A21&lt;&gt;"",INDEX('Project Financials'!$AC$5:$AC$64,MATCH($A21,'Project Financials'!$A$5:$A$64,0))&lt;0.2,INDEX('Project Financials'!$D$5:$D$64,MATCH($A21,'Project Financials'!$A$5:$A$64,0))&gt;0),1,0),0)</f>
        <v>0</v>
      </c>
      <c r="AF21" s="3" t="n">
        <f aca="false">IFERROR(IF(OR(INDEX(Payments!$N$5:$N$64,MATCH($A21,Payments!$B$5:$B$64,0))="Overdue",INDEX(Payments!$N$5:$N$64,MATCH($A21,Payments!$B$5:$B$64,0))="Awaiting Deposit"),1,0),0)</f>
        <v>0</v>
      </c>
      <c r="AG21" s="3" t="n">
        <f aca="false">IF($A21="",0,IF(SUM(Z21:AF21)&gt;0,1,0))</f>
        <v>0</v>
      </c>
      <c r="AH21" s="3" t="str">
        <f aca="false">IF($AG21=0,"",LEFT((IF($Z21=1,"Overdue; ",""))&amp;(IF($AA21=1,"Deadline ≤ 7 days; ",""))&amp;(IF($AB21=1,"Action needed from us; ",""))&amp;(IF($AC21=1,"Client feedback overdue; ",""))&amp;(IF($AD21=1,"At iteration limit; ",""))&amp;(IF($AE21=1,"Low margin; ",""))&amp;(IF($AF21=1,"Unpaid invoice; ","")),LEN((IF($Z21=1,"Overdue; ",""))&amp;(IF($AA21=1,"Deadline ≤ 7 days; ",""))&amp;(IF($AB21=1,"Action needed from us; ",""))&amp;(IF($AC21=1,"Client feedback overdue; ",""))&amp;(IF($AD21=1,"At iteration limit; ",""))&amp;(IF($AE21=1,"Low margin; ",""))&amp;(IF($AF21=1,"Unpaid invoice; ","")))-2))</f>
        <v/>
      </c>
      <c r="AI21" s="3" t="str">
        <f aca="false">IF(AND($A21&lt;&gt;"",$J21&lt;&gt;"Completed",$J21&lt;&gt;"On Hold"),$F21*1000+(ROW()-ROW($A$5)+1),"")</f>
        <v/>
      </c>
      <c r="AJ21" s="3" t="str">
        <f aca="false">IF($AG21=1,ROW()-ROW($A$5)+1,"")</f>
        <v/>
      </c>
      <c r="AK21" s="35"/>
    </row>
    <row r="22" customFormat="false" ht="25.5" hidden="false" customHeight="true" outlineLevel="0" collapsed="false">
      <c r="A22" s="30"/>
      <c r="B22" s="30"/>
      <c r="C22" s="20" t="str">
        <f aca="false">IFERROR(INDEX(Clients!$B$5:$B$44,MATCH($B22,Clients!$A$5:$A$44,0)),"")</f>
        <v/>
      </c>
      <c r="D22" s="30"/>
      <c r="E22" s="31"/>
      <c r="F22" s="31"/>
      <c r="G22" s="20" t="str">
        <f aca="true">IF($A22="","",$F22-TODAY())</f>
        <v/>
      </c>
      <c r="H22" s="30"/>
      <c r="I22" s="30"/>
      <c r="J22" s="20" t="str">
        <f aca="false">IF($A22="","",_xlfn.IFS(OR($W22="Yes",$H22="Complete"),"Completed",$H22="On Hold","On Hold",$G22&lt;0,"Overdue",$O22="Client","Waiting on Client",$G22&lt;=7,"At Risk",TRUE(),"On Track"))</f>
        <v/>
      </c>
      <c r="K22" s="20" t="str">
        <f aca="false">IF($A22="","",IFERROR(_xlfn.MAXIFS('Iteration Tracker'!$D$5:$D$124,'Iteration Tracker'!$A$5:$A$124,$A22),0))</f>
        <v/>
      </c>
      <c r="L22" s="30"/>
      <c r="M22" s="20" t="str">
        <f aca="false">IF($A22="","",$L22-$K22)</f>
        <v/>
      </c>
      <c r="N22" s="31"/>
      <c r="O22" s="30"/>
      <c r="P22" s="34"/>
      <c r="Q22" s="31"/>
      <c r="R22" s="20" t="str">
        <f aca="true">IF($A22="","",IF($N22="","",TODAY()-$N22))</f>
        <v/>
      </c>
      <c r="S22" s="30"/>
      <c r="T22" s="30"/>
      <c r="U22" s="30"/>
      <c r="V22" s="30"/>
      <c r="W22" s="30"/>
      <c r="X22" s="34"/>
      <c r="Z22" s="3" t="n">
        <f aca="false">IF($A22="",0,IF(AND($G22&lt;0,$J22&lt;&gt;"Completed",$J22&lt;&gt;"On Hold"),1,0))</f>
        <v>0</v>
      </c>
      <c r="AA22" s="3" t="n">
        <f aca="false">IF($A22="",0,IF(AND($G22&gt;=0,$G22&lt;=7,$J22&lt;&gt;"Completed",$J22&lt;&gt;"On Hold"),1,0))</f>
        <v>0</v>
      </c>
      <c r="AB22" s="3" t="n">
        <f aca="false">IF($A22="",0,IF(AND($O22="Us",$J22&lt;&gt;"Completed"),1,0))</f>
        <v>0</v>
      </c>
      <c r="AC22" s="3" t="n">
        <f aca="false">IF($A22="",0,IF(AND($H22="Awaiting Feedback",$R22&lt;&gt;"",$R22&gt;7),1,0))</f>
        <v>0</v>
      </c>
      <c r="AD22" s="3" t="n">
        <f aca="false">IF($A22="",0,IF(AND($M22&lt;&gt;"",$M22&lt;=1,$J22&lt;&gt;"Completed"),1,0))</f>
        <v>0</v>
      </c>
      <c r="AE22" s="3" t="n">
        <f aca="false">IFERROR(IF(AND($A22&lt;&gt;"",INDEX('Project Financials'!$AC$5:$AC$64,MATCH($A22,'Project Financials'!$A$5:$A$64,0))&lt;0.2,INDEX('Project Financials'!$D$5:$D$64,MATCH($A22,'Project Financials'!$A$5:$A$64,0))&gt;0),1,0),0)</f>
        <v>0</v>
      </c>
      <c r="AF22" s="3" t="n">
        <f aca="false">IFERROR(IF(OR(INDEX(Payments!$N$5:$N$64,MATCH($A22,Payments!$B$5:$B$64,0))="Overdue",INDEX(Payments!$N$5:$N$64,MATCH($A22,Payments!$B$5:$B$64,0))="Awaiting Deposit"),1,0),0)</f>
        <v>0</v>
      </c>
      <c r="AG22" s="3" t="n">
        <f aca="false">IF($A22="",0,IF(SUM(Z22:AF22)&gt;0,1,0))</f>
        <v>0</v>
      </c>
      <c r="AH22" s="3" t="str">
        <f aca="false">IF($AG22=0,"",LEFT((IF($Z22=1,"Overdue; ",""))&amp;(IF($AA22=1,"Deadline ≤ 7 days; ",""))&amp;(IF($AB22=1,"Action needed from us; ",""))&amp;(IF($AC22=1,"Client feedback overdue; ",""))&amp;(IF($AD22=1,"At iteration limit; ",""))&amp;(IF($AE22=1,"Low margin; ",""))&amp;(IF($AF22=1,"Unpaid invoice; ","")),LEN((IF($Z22=1,"Overdue; ",""))&amp;(IF($AA22=1,"Deadline ≤ 7 days; ",""))&amp;(IF($AB22=1,"Action needed from us; ",""))&amp;(IF($AC22=1,"Client feedback overdue; ",""))&amp;(IF($AD22=1,"At iteration limit; ",""))&amp;(IF($AE22=1,"Low margin; ",""))&amp;(IF($AF22=1,"Unpaid invoice; ","")))-2))</f>
        <v/>
      </c>
      <c r="AI22" s="3" t="str">
        <f aca="false">IF(AND($A22&lt;&gt;"",$J22&lt;&gt;"Completed",$J22&lt;&gt;"On Hold"),$F22*1000+(ROW()-ROW($A$5)+1),"")</f>
        <v/>
      </c>
      <c r="AJ22" s="3" t="str">
        <f aca="false">IF($AG22=1,ROW()-ROW($A$5)+1,"")</f>
        <v/>
      </c>
      <c r="AK22" s="35"/>
    </row>
    <row r="23" customFormat="false" ht="25.5" hidden="false" customHeight="true" outlineLevel="0" collapsed="false">
      <c r="A23" s="30"/>
      <c r="B23" s="30"/>
      <c r="C23" s="20" t="str">
        <f aca="false">IFERROR(INDEX(Clients!$B$5:$B$44,MATCH($B23,Clients!$A$5:$A$44,0)),"")</f>
        <v/>
      </c>
      <c r="D23" s="30"/>
      <c r="E23" s="31"/>
      <c r="F23" s="31"/>
      <c r="G23" s="20" t="str">
        <f aca="true">IF($A23="","",$F23-TODAY())</f>
        <v/>
      </c>
      <c r="H23" s="30"/>
      <c r="I23" s="30"/>
      <c r="J23" s="20" t="str">
        <f aca="false">IF($A23="","",_xlfn.IFS(OR($W23="Yes",$H23="Complete"),"Completed",$H23="On Hold","On Hold",$G23&lt;0,"Overdue",$O23="Client","Waiting on Client",$G23&lt;=7,"At Risk",TRUE(),"On Track"))</f>
        <v/>
      </c>
      <c r="K23" s="20" t="str">
        <f aca="false">IF($A23="","",IFERROR(_xlfn.MAXIFS('Iteration Tracker'!$D$5:$D$124,'Iteration Tracker'!$A$5:$A$124,$A23),0))</f>
        <v/>
      </c>
      <c r="L23" s="30"/>
      <c r="M23" s="20" t="str">
        <f aca="false">IF($A23="","",$L23-$K23)</f>
        <v/>
      </c>
      <c r="N23" s="31"/>
      <c r="O23" s="30"/>
      <c r="P23" s="34"/>
      <c r="Q23" s="31"/>
      <c r="R23" s="20" t="str">
        <f aca="true">IF($A23="","",IF($N23="","",TODAY()-$N23))</f>
        <v/>
      </c>
      <c r="S23" s="30"/>
      <c r="T23" s="30"/>
      <c r="U23" s="30"/>
      <c r="V23" s="30"/>
      <c r="W23" s="30"/>
      <c r="X23" s="34"/>
      <c r="Z23" s="3" t="n">
        <f aca="false">IF($A23="",0,IF(AND($G23&lt;0,$J23&lt;&gt;"Completed",$J23&lt;&gt;"On Hold"),1,0))</f>
        <v>0</v>
      </c>
      <c r="AA23" s="3" t="n">
        <f aca="false">IF($A23="",0,IF(AND($G23&gt;=0,$G23&lt;=7,$J23&lt;&gt;"Completed",$J23&lt;&gt;"On Hold"),1,0))</f>
        <v>0</v>
      </c>
      <c r="AB23" s="3" t="n">
        <f aca="false">IF($A23="",0,IF(AND($O23="Us",$J23&lt;&gt;"Completed"),1,0))</f>
        <v>0</v>
      </c>
      <c r="AC23" s="3" t="n">
        <f aca="false">IF($A23="",0,IF(AND($H23="Awaiting Feedback",$R23&lt;&gt;"",$R23&gt;7),1,0))</f>
        <v>0</v>
      </c>
      <c r="AD23" s="3" t="n">
        <f aca="false">IF($A23="",0,IF(AND($M23&lt;&gt;"",$M23&lt;=1,$J23&lt;&gt;"Completed"),1,0))</f>
        <v>0</v>
      </c>
      <c r="AE23" s="3" t="n">
        <f aca="false">IFERROR(IF(AND($A23&lt;&gt;"",INDEX('Project Financials'!$AC$5:$AC$64,MATCH($A23,'Project Financials'!$A$5:$A$64,0))&lt;0.2,INDEX('Project Financials'!$D$5:$D$64,MATCH($A23,'Project Financials'!$A$5:$A$64,0))&gt;0),1,0),0)</f>
        <v>0</v>
      </c>
      <c r="AF23" s="3" t="n">
        <f aca="false">IFERROR(IF(OR(INDEX(Payments!$N$5:$N$64,MATCH($A23,Payments!$B$5:$B$64,0))="Overdue",INDEX(Payments!$N$5:$N$64,MATCH($A23,Payments!$B$5:$B$64,0))="Awaiting Deposit"),1,0),0)</f>
        <v>0</v>
      </c>
      <c r="AG23" s="3" t="n">
        <f aca="false">IF($A23="",0,IF(SUM(Z23:AF23)&gt;0,1,0))</f>
        <v>0</v>
      </c>
      <c r="AH23" s="3" t="str">
        <f aca="false">IF($AG23=0,"",LEFT((IF($Z23=1,"Overdue; ",""))&amp;(IF($AA23=1,"Deadline ≤ 7 days; ",""))&amp;(IF($AB23=1,"Action needed from us; ",""))&amp;(IF($AC23=1,"Client feedback overdue; ",""))&amp;(IF($AD23=1,"At iteration limit; ",""))&amp;(IF($AE23=1,"Low margin; ",""))&amp;(IF($AF23=1,"Unpaid invoice; ","")),LEN((IF($Z23=1,"Overdue; ",""))&amp;(IF($AA23=1,"Deadline ≤ 7 days; ",""))&amp;(IF($AB23=1,"Action needed from us; ",""))&amp;(IF($AC23=1,"Client feedback overdue; ",""))&amp;(IF($AD23=1,"At iteration limit; ",""))&amp;(IF($AE23=1,"Low margin; ",""))&amp;(IF($AF23=1,"Unpaid invoice; ","")))-2))</f>
        <v/>
      </c>
      <c r="AI23" s="3" t="str">
        <f aca="false">IF(AND($A23&lt;&gt;"",$J23&lt;&gt;"Completed",$J23&lt;&gt;"On Hold"),$F23*1000+(ROW()-ROW($A$5)+1),"")</f>
        <v/>
      </c>
      <c r="AJ23" s="3" t="str">
        <f aca="false">IF($AG23=1,ROW()-ROW($A$5)+1,"")</f>
        <v/>
      </c>
      <c r="AK23" s="35"/>
    </row>
    <row r="24" customFormat="false" ht="25.5" hidden="false" customHeight="true" outlineLevel="0" collapsed="false">
      <c r="A24" s="30"/>
      <c r="B24" s="30"/>
      <c r="C24" s="20" t="str">
        <f aca="false">IFERROR(INDEX(Clients!$B$5:$B$44,MATCH($B24,Clients!$A$5:$A$44,0)),"")</f>
        <v/>
      </c>
      <c r="D24" s="30"/>
      <c r="E24" s="31"/>
      <c r="F24" s="31"/>
      <c r="G24" s="20" t="str">
        <f aca="true">IF($A24="","",$F24-TODAY())</f>
        <v/>
      </c>
      <c r="H24" s="30"/>
      <c r="I24" s="30"/>
      <c r="J24" s="20" t="str">
        <f aca="false">IF($A24="","",_xlfn.IFS(OR($W24="Yes",$H24="Complete"),"Completed",$H24="On Hold","On Hold",$G24&lt;0,"Overdue",$O24="Client","Waiting on Client",$G24&lt;=7,"At Risk",TRUE(),"On Track"))</f>
        <v/>
      </c>
      <c r="K24" s="20" t="str">
        <f aca="false">IF($A24="","",IFERROR(_xlfn.MAXIFS('Iteration Tracker'!$D$5:$D$124,'Iteration Tracker'!$A$5:$A$124,$A24),0))</f>
        <v/>
      </c>
      <c r="L24" s="30"/>
      <c r="M24" s="20" t="str">
        <f aca="false">IF($A24="","",$L24-$K24)</f>
        <v/>
      </c>
      <c r="N24" s="31"/>
      <c r="O24" s="30"/>
      <c r="P24" s="34"/>
      <c r="Q24" s="31"/>
      <c r="R24" s="20" t="str">
        <f aca="true">IF($A24="","",IF($N24="","",TODAY()-$N24))</f>
        <v/>
      </c>
      <c r="S24" s="30"/>
      <c r="T24" s="30"/>
      <c r="U24" s="30"/>
      <c r="V24" s="30"/>
      <c r="W24" s="30"/>
      <c r="X24" s="34"/>
      <c r="Z24" s="3" t="n">
        <f aca="false">IF($A24="",0,IF(AND($G24&lt;0,$J24&lt;&gt;"Completed",$J24&lt;&gt;"On Hold"),1,0))</f>
        <v>0</v>
      </c>
      <c r="AA24" s="3" t="n">
        <f aca="false">IF($A24="",0,IF(AND($G24&gt;=0,$G24&lt;=7,$J24&lt;&gt;"Completed",$J24&lt;&gt;"On Hold"),1,0))</f>
        <v>0</v>
      </c>
      <c r="AB24" s="3" t="n">
        <f aca="false">IF($A24="",0,IF(AND($O24="Us",$J24&lt;&gt;"Completed"),1,0))</f>
        <v>0</v>
      </c>
      <c r="AC24" s="3" t="n">
        <f aca="false">IF($A24="",0,IF(AND($H24="Awaiting Feedback",$R24&lt;&gt;"",$R24&gt;7),1,0))</f>
        <v>0</v>
      </c>
      <c r="AD24" s="3" t="n">
        <f aca="false">IF($A24="",0,IF(AND($M24&lt;&gt;"",$M24&lt;=1,$J24&lt;&gt;"Completed"),1,0))</f>
        <v>0</v>
      </c>
      <c r="AE24" s="3" t="n">
        <f aca="false">IFERROR(IF(AND($A24&lt;&gt;"",INDEX('Project Financials'!$AC$5:$AC$64,MATCH($A24,'Project Financials'!$A$5:$A$64,0))&lt;0.2,INDEX('Project Financials'!$D$5:$D$64,MATCH($A24,'Project Financials'!$A$5:$A$64,0))&gt;0),1,0),0)</f>
        <v>0</v>
      </c>
      <c r="AF24" s="3" t="n">
        <f aca="false">IFERROR(IF(OR(INDEX(Payments!$N$5:$N$64,MATCH($A24,Payments!$B$5:$B$64,0))="Overdue",INDEX(Payments!$N$5:$N$64,MATCH($A24,Payments!$B$5:$B$64,0))="Awaiting Deposit"),1,0),0)</f>
        <v>0</v>
      </c>
      <c r="AG24" s="3" t="n">
        <f aca="false">IF($A24="",0,IF(SUM(Z24:AF24)&gt;0,1,0))</f>
        <v>0</v>
      </c>
      <c r="AH24" s="3" t="str">
        <f aca="false">IF($AG24=0,"",LEFT((IF($Z24=1,"Overdue; ",""))&amp;(IF($AA24=1,"Deadline ≤ 7 days; ",""))&amp;(IF($AB24=1,"Action needed from us; ",""))&amp;(IF($AC24=1,"Client feedback overdue; ",""))&amp;(IF($AD24=1,"At iteration limit; ",""))&amp;(IF($AE24=1,"Low margin; ",""))&amp;(IF($AF24=1,"Unpaid invoice; ","")),LEN((IF($Z24=1,"Overdue; ",""))&amp;(IF($AA24=1,"Deadline ≤ 7 days; ",""))&amp;(IF($AB24=1,"Action needed from us; ",""))&amp;(IF($AC24=1,"Client feedback overdue; ",""))&amp;(IF($AD24=1,"At iteration limit; ",""))&amp;(IF($AE24=1,"Low margin; ",""))&amp;(IF($AF24=1,"Unpaid invoice; ","")))-2))</f>
        <v/>
      </c>
      <c r="AI24" s="3" t="str">
        <f aca="false">IF(AND($A24&lt;&gt;"",$J24&lt;&gt;"Completed",$J24&lt;&gt;"On Hold"),$F24*1000+(ROW()-ROW($A$5)+1),"")</f>
        <v/>
      </c>
      <c r="AJ24" s="3" t="str">
        <f aca="false">IF($AG24=1,ROW()-ROW($A$5)+1,"")</f>
        <v/>
      </c>
      <c r="AK24" s="35"/>
    </row>
    <row r="25" customFormat="false" ht="25.5" hidden="false" customHeight="true" outlineLevel="0" collapsed="false">
      <c r="A25" s="30"/>
      <c r="B25" s="30"/>
      <c r="C25" s="20" t="str">
        <f aca="false">IFERROR(INDEX(Clients!$B$5:$B$44,MATCH($B25,Clients!$A$5:$A$44,0)),"")</f>
        <v/>
      </c>
      <c r="D25" s="30"/>
      <c r="E25" s="31"/>
      <c r="F25" s="31"/>
      <c r="G25" s="20" t="str">
        <f aca="true">IF($A25="","",$F25-TODAY())</f>
        <v/>
      </c>
      <c r="H25" s="30"/>
      <c r="I25" s="30"/>
      <c r="J25" s="20" t="str">
        <f aca="false">IF($A25="","",_xlfn.IFS(OR($W25="Yes",$H25="Complete"),"Completed",$H25="On Hold","On Hold",$G25&lt;0,"Overdue",$O25="Client","Waiting on Client",$G25&lt;=7,"At Risk",TRUE(),"On Track"))</f>
        <v/>
      </c>
      <c r="K25" s="20" t="str">
        <f aca="false">IF($A25="","",IFERROR(_xlfn.MAXIFS('Iteration Tracker'!$D$5:$D$124,'Iteration Tracker'!$A$5:$A$124,$A25),0))</f>
        <v/>
      </c>
      <c r="L25" s="30"/>
      <c r="M25" s="20" t="str">
        <f aca="false">IF($A25="","",$L25-$K25)</f>
        <v/>
      </c>
      <c r="N25" s="31"/>
      <c r="O25" s="30"/>
      <c r="P25" s="34"/>
      <c r="Q25" s="31"/>
      <c r="R25" s="20" t="str">
        <f aca="true">IF($A25="","",IF($N25="","",TODAY()-$N25))</f>
        <v/>
      </c>
      <c r="S25" s="30"/>
      <c r="T25" s="30"/>
      <c r="U25" s="30"/>
      <c r="V25" s="30"/>
      <c r="W25" s="30"/>
      <c r="X25" s="34"/>
      <c r="Z25" s="3" t="n">
        <f aca="false">IF($A25="",0,IF(AND($G25&lt;0,$J25&lt;&gt;"Completed",$J25&lt;&gt;"On Hold"),1,0))</f>
        <v>0</v>
      </c>
      <c r="AA25" s="3" t="n">
        <f aca="false">IF($A25="",0,IF(AND($G25&gt;=0,$G25&lt;=7,$J25&lt;&gt;"Completed",$J25&lt;&gt;"On Hold"),1,0))</f>
        <v>0</v>
      </c>
      <c r="AB25" s="3" t="n">
        <f aca="false">IF($A25="",0,IF(AND($O25="Us",$J25&lt;&gt;"Completed"),1,0))</f>
        <v>0</v>
      </c>
      <c r="AC25" s="3" t="n">
        <f aca="false">IF($A25="",0,IF(AND($H25="Awaiting Feedback",$R25&lt;&gt;"",$R25&gt;7),1,0))</f>
        <v>0</v>
      </c>
      <c r="AD25" s="3" t="n">
        <f aca="false">IF($A25="",0,IF(AND($M25&lt;&gt;"",$M25&lt;=1,$J25&lt;&gt;"Completed"),1,0))</f>
        <v>0</v>
      </c>
      <c r="AE25" s="3" t="n">
        <f aca="false">IFERROR(IF(AND($A25&lt;&gt;"",INDEX('Project Financials'!$AC$5:$AC$64,MATCH($A25,'Project Financials'!$A$5:$A$64,0))&lt;0.2,INDEX('Project Financials'!$D$5:$D$64,MATCH($A25,'Project Financials'!$A$5:$A$64,0))&gt;0),1,0),0)</f>
        <v>0</v>
      </c>
      <c r="AF25" s="3" t="n">
        <f aca="false">IFERROR(IF(OR(INDEX(Payments!$N$5:$N$64,MATCH($A25,Payments!$B$5:$B$64,0))="Overdue",INDEX(Payments!$N$5:$N$64,MATCH($A25,Payments!$B$5:$B$64,0))="Awaiting Deposit"),1,0),0)</f>
        <v>0</v>
      </c>
      <c r="AG25" s="3" t="n">
        <f aca="false">IF($A25="",0,IF(SUM(Z25:AF25)&gt;0,1,0))</f>
        <v>0</v>
      </c>
      <c r="AH25" s="3" t="str">
        <f aca="false">IF($AG25=0,"",LEFT((IF($Z25=1,"Overdue; ",""))&amp;(IF($AA25=1,"Deadline ≤ 7 days; ",""))&amp;(IF($AB25=1,"Action needed from us; ",""))&amp;(IF($AC25=1,"Client feedback overdue; ",""))&amp;(IF($AD25=1,"At iteration limit; ",""))&amp;(IF($AE25=1,"Low margin; ",""))&amp;(IF($AF25=1,"Unpaid invoice; ","")),LEN((IF($Z25=1,"Overdue; ",""))&amp;(IF($AA25=1,"Deadline ≤ 7 days; ",""))&amp;(IF($AB25=1,"Action needed from us; ",""))&amp;(IF($AC25=1,"Client feedback overdue; ",""))&amp;(IF($AD25=1,"At iteration limit; ",""))&amp;(IF($AE25=1,"Low margin; ",""))&amp;(IF($AF25=1,"Unpaid invoice; ","")))-2))</f>
        <v/>
      </c>
      <c r="AI25" s="3" t="str">
        <f aca="false">IF(AND($A25&lt;&gt;"",$J25&lt;&gt;"Completed",$J25&lt;&gt;"On Hold"),$F25*1000+(ROW()-ROW($A$5)+1),"")</f>
        <v/>
      </c>
      <c r="AJ25" s="3" t="str">
        <f aca="false">IF($AG25=1,ROW()-ROW($A$5)+1,"")</f>
        <v/>
      </c>
      <c r="AK25" s="35"/>
    </row>
    <row r="26" customFormat="false" ht="25.5" hidden="false" customHeight="true" outlineLevel="0" collapsed="false">
      <c r="A26" s="30"/>
      <c r="B26" s="30"/>
      <c r="C26" s="20" t="str">
        <f aca="false">IFERROR(INDEX(Clients!$B$5:$B$44,MATCH($B26,Clients!$A$5:$A$44,0)),"")</f>
        <v/>
      </c>
      <c r="D26" s="30"/>
      <c r="E26" s="31"/>
      <c r="F26" s="31"/>
      <c r="G26" s="20" t="str">
        <f aca="true">IF($A26="","",$F26-TODAY())</f>
        <v/>
      </c>
      <c r="H26" s="30"/>
      <c r="I26" s="30"/>
      <c r="J26" s="20" t="str">
        <f aca="false">IF($A26="","",_xlfn.IFS(OR($W26="Yes",$H26="Complete"),"Completed",$H26="On Hold","On Hold",$G26&lt;0,"Overdue",$O26="Client","Waiting on Client",$G26&lt;=7,"At Risk",TRUE(),"On Track"))</f>
        <v/>
      </c>
      <c r="K26" s="20" t="str">
        <f aca="false">IF($A26="","",IFERROR(_xlfn.MAXIFS('Iteration Tracker'!$D$5:$D$124,'Iteration Tracker'!$A$5:$A$124,$A26),0))</f>
        <v/>
      </c>
      <c r="L26" s="30"/>
      <c r="M26" s="20" t="str">
        <f aca="false">IF($A26="","",$L26-$K26)</f>
        <v/>
      </c>
      <c r="N26" s="31"/>
      <c r="O26" s="30"/>
      <c r="P26" s="34"/>
      <c r="Q26" s="31"/>
      <c r="R26" s="20" t="str">
        <f aca="true">IF($A26="","",IF($N26="","",TODAY()-$N26))</f>
        <v/>
      </c>
      <c r="S26" s="30"/>
      <c r="T26" s="30"/>
      <c r="U26" s="30"/>
      <c r="V26" s="30"/>
      <c r="W26" s="30"/>
      <c r="X26" s="34"/>
      <c r="Z26" s="3" t="n">
        <f aca="false">IF($A26="",0,IF(AND($G26&lt;0,$J26&lt;&gt;"Completed",$J26&lt;&gt;"On Hold"),1,0))</f>
        <v>0</v>
      </c>
      <c r="AA26" s="3" t="n">
        <f aca="false">IF($A26="",0,IF(AND($G26&gt;=0,$G26&lt;=7,$J26&lt;&gt;"Completed",$J26&lt;&gt;"On Hold"),1,0))</f>
        <v>0</v>
      </c>
      <c r="AB26" s="3" t="n">
        <f aca="false">IF($A26="",0,IF(AND($O26="Us",$J26&lt;&gt;"Completed"),1,0))</f>
        <v>0</v>
      </c>
      <c r="AC26" s="3" t="n">
        <f aca="false">IF($A26="",0,IF(AND($H26="Awaiting Feedback",$R26&lt;&gt;"",$R26&gt;7),1,0))</f>
        <v>0</v>
      </c>
      <c r="AD26" s="3" t="n">
        <f aca="false">IF($A26="",0,IF(AND($M26&lt;&gt;"",$M26&lt;=1,$J26&lt;&gt;"Completed"),1,0))</f>
        <v>0</v>
      </c>
      <c r="AE26" s="3" t="n">
        <f aca="false">IFERROR(IF(AND($A26&lt;&gt;"",INDEX('Project Financials'!$AC$5:$AC$64,MATCH($A26,'Project Financials'!$A$5:$A$64,0))&lt;0.2,INDEX('Project Financials'!$D$5:$D$64,MATCH($A26,'Project Financials'!$A$5:$A$64,0))&gt;0),1,0),0)</f>
        <v>0</v>
      </c>
      <c r="AF26" s="3" t="n">
        <f aca="false">IFERROR(IF(OR(INDEX(Payments!$N$5:$N$64,MATCH($A26,Payments!$B$5:$B$64,0))="Overdue",INDEX(Payments!$N$5:$N$64,MATCH($A26,Payments!$B$5:$B$64,0))="Awaiting Deposit"),1,0),0)</f>
        <v>0</v>
      </c>
      <c r="AG26" s="3" t="n">
        <f aca="false">IF($A26="",0,IF(SUM(Z26:AF26)&gt;0,1,0))</f>
        <v>0</v>
      </c>
      <c r="AH26" s="3" t="str">
        <f aca="false">IF($AG26=0,"",LEFT((IF($Z26=1,"Overdue; ",""))&amp;(IF($AA26=1,"Deadline ≤ 7 days; ",""))&amp;(IF($AB26=1,"Action needed from us; ",""))&amp;(IF($AC26=1,"Client feedback overdue; ",""))&amp;(IF($AD26=1,"At iteration limit; ",""))&amp;(IF($AE26=1,"Low margin; ",""))&amp;(IF($AF26=1,"Unpaid invoice; ","")),LEN((IF($Z26=1,"Overdue; ",""))&amp;(IF($AA26=1,"Deadline ≤ 7 days; ",""))&amp;(IF($AB26=1,"Action needed from us; ",""))&amp;(IF($AC26=1,"Client feedback overdue; ",""))&amp;(IF($AD26=1,"At iteration limit; ",""))&amp;(IF($AE26=1,"Low margin; ",""))&amp;(IF($AF26=1,"Unpaid invoice; ","")))-2))</f>
        <v/>
      </c>
      <c r="AI26" s="3" t="str">
        <f aca="false">IF(AND($A26&lt;&gt;"",$J26&lt;&gt;"Completed",$J26&lt;&gt;"On Hold"),$F26*1000+(ROW()-ROW($A$5)+1),"")</f>
        <v/>
      </c>
      <c r="AJ26" s="3" t="str">
        <f aca="false">IF($AG26=1,ROW()-ROW($A$5)+1,"")</f>
        <v/>
      </c>
      <c r="AK26" s="35"/>
    </row>
    <row r="27" customFormat="false" ht="25.5" hidden="false" customHeight="true" outlineLevel="0" collapsed="false">
      <c r="A27" s="30"/>
      <c r="B27" s="30"/>
      <c r="C27" s="20" t="str">
        <f aca="false">IFERROR(INDEX(Clients!$B$5:$B$44,MATCH($B27,Clients!$A$5:$A$44,0)),"")</f>
        <v/>
      </c>
      <c r="D27" s="30"/>
      <c r="E27" s="31"/>
      <c r="F27" s="31"/>
      <c r="G27" s="20" t="str">
        <f aca="true">IF($A27="","",$F27-TODAY())</f>
        <v/>
      </c>
      <c r="H27" s="30"/>
      <c r="I27" s="30"/>
      <c r="J27" s="20" t="str">
        <f aca="false">IF($A27="","",_xlfn.IFS(OR($W27="Yes",$H27="Complete"),"Completed",$H27="On Hold","On Hold",$G27&lt;0,"Overdue",$O27="Client","Waiting on Client",$G27&lt;=7,"At Risk",TRUE(),"On Track"))</f>
        <v/>
      </c>
      <c r="K27" s="20" t="str">
        <f aca="false">IF($A27="","",IFERROR(_xlfn.MAXIFS('Iteration Tracker'!$D$5:$D$124,'Iteration Tracker'!$A$5:$A$124,$A27),0))</f>
        <v/>
      </c>
      <c r="L27" s="30"/>
      <c r="M27" s="20" t="str">
        <f aca="false">IF($A27="","",$L27-$K27)</f>
        <v/>
      </c>
      <c r="N27" s="31"/>
      <c r="O27" s="30"/>
      <c r="P27" s="34"/>
      <c r="Q27" s="31"/>
      <c r="R27" s="20" t="str">
        <f aca="true">IF($A27="","",IF($N27="","",TODAY()-$N27))</f>
        <v/>
      </c>
      <c r="S27" s="30"/>
      <c r="T27" s="30"/>
      <c r="U27" s="30"/>
      <c r="V27" s="30"/>
      <c r="W27" s="30"/>
      <c r="X27" s="34"/>
      <c r="Z27" s="3" t="n">
        <f aca="false">IF($A27="",0,IF(AND($G27&lt;0,$J27&lt;&gt;"Completed",$J27&lt;&gt;"On Hold"),1,0))</f>
        <v>0</v>
      </c>
      <c r="AA27" s="3" t="n">
        <f aca="false">IF($A27="",0,IF(AND($G27&gt;=0,$G27&lt;=7,$J27&lt;&gt;"Completed",$J27&lt;&gt;"On Hold"),1,0))</f>
        <v>0</v>
      </c>
      <c r="AB27" s="3" t="n">
        <f aca="false">IF($A27="",0,IF(AND($O27="Us",$J27&lt;&gt;"Completed"),1,0))</f>
        <v>0</v>
      </c>
      <c r="AC27" s="3" t="n">
        <f aca="false">IF($A27="",0,IF(AND($H27="Awaiting Feedback",$R27&lt;&gt;"",$R27&gt;7),1,0))</f>
        <v>0</v>
      </c>
      <c r="AD27" s="3" t="n">
        <f aca="false">IF($A27="",0,IF(AND($M27&lt;&gt;"",$M27&lt;=1,$J27&lt;&gt;"Completed"),1,0))</f>
        <v>0</v>
      </c>
      <c r="AE27" s="3" t="n">
        <f aca="false">IFERROR(IF(AND($A27&lt;&gt;"",INDEX('Project Financials'!$AC$5:$AC$64,MATCH($A27,'Project Financials'!$A$5:$A$64,0))&lt;0.2,INDEX('Project Financials'!$D$5:$D$64,MATCH($A27,'Project Financials'!$A$5:$A$64,0))&gt;0),1,0),0)</f>
        <v>0</v>
      </c>
      <c r="AF27" s="3" t="n">
        <f aca="false">IFERROR(IF(OR(INDEX(Payments!$N$5:$N$64,MATCH($A27,Payments!$B$5:$B$64,0))="Overdue",INDEX(Payments!$N$5:$N$64,MATCH($A27,Payments!$B$5:$B$64,0))="Awaiting Deposit"),1,0),0)</f>
        <v>0</v>
      </c>
      <c r="AG27" s="3" t="n">
        <f aca="false">IF($A27="",0,IF(SUM(Z27:AF27)&gt;0,1,0))</f>
        <v>0</v>
      </c>
      <c r="AH27" s="3" t="str">
        <f aca="false">IF($AG27=0,"",LEFT((IF($Z27=1,"Overdue; ",""))&amp;(IF($AA27=1,"Deadline ≤ 7 days; ",""))&amp;(IF($AB27=1,"Action needed from us; ",""))&amp;(IF($AC27=1,"Client feedback overdue; ",""))&amp;(IF($AD27=1,"At iteration limit; ",""))&amp;(IF($AE27=1,"Low margin; ",""))&amp;(IF($AF27=1,"Unpaid invoice; ","")),LEN((IF($Z27=1,"Overdue; ",""))&amp;(IF($AA27=1,"Deadline ≤ 7 days; ",""))&amp;(IF($AB27=1,"Action needed from us; ",""))&amp;(IF($AC27=1,"Client feedback overdue; ",""))&amp;(IF($AD27=1,"At iteration limit; ",""))&amp;(IF($AE27=1,"Low margin; ",""))&amp;(IF($AF27=1,"Unpaid invoice; ","")))-2))</f>
        <v/>
      </c>
      <c r="AI27" s="3" t="str">
        <f aca="false">IF(AND($A27&lt;&gt;"",$J27&lt;&gt;"Completed",$J27&lt;&gt;"On Hold"),$F27*1000+(ROW()-ROW($A$5)+1),"")</f>
        <v/>
      </c>
      <c r="AJ27" s="3" t="str">
        <f aca="false">IF($AG27=1,ROW()-ROW($A$5)+1,"")</f>
        <v/>
      </c>
      <c r="AK27" s="35"/>
    </row>
    <row r="28" customFormat="false" ht="25.5" hidden="false" customHeight="true" outlineLevel="0" collapsed="false">
      <c r="A28" s="30"/>
      <c r="B28" s="30"/>
      <c r="C28" s="20" t="str">
        <f aca="false">IFERROR(INDEX(Clients!$B$5:$B$44,MATCH($B28,Clients!$A$5:$A$44,0)),"")</f>
        <v/>
      </c>
      <c r="D28" s="30"/>
      <c r="E28" s="31"/>
      <c r="F28" s="31"/>
      <c r="G28" s="20" t="str">
        <f aca="true">IF($A28="","",$F28-TODAY())</f>
        <v/>
      </c>
      <c r="H28" s="30"/>
      <c r="I28" s="30"/>
      <c r="J28" s="20" t="str">
        <f aca="false">IF($A28="","",_xlfn.IFS(OR($W28="Yes",$H28="Complete"),"Completed",$H28="On Hold","On Hold",$G28&lt;0,"Overdue",$O28="Client","Waiting on Client",$G28&lt;=7,"At Risk",TRUE(),"On Track"))</f>
        <v/>
      </c>
      <c r="K28" s="20" t="str">
        <f aca="false">IF($A28="","",IFERROR(_xlfn.MAXIFS('Iteration Tracker'!$D$5:$D$124,'Iteration Tracker'!$A$5:$A$124,$A28),0))</f>
        <v/>
      </c>
      <c r="L28" s="30"/>
      <c r="M28" s="20" t="str">
        <f aca="false">IF($A28="","",$L28-$K28)</f>
        <v/>
      </c>
      <c r="N28" s="31"/>
      <c r="O28" s="30"/>
      <c r="P28" s="34"/>
      <c r="Q28" s="31"/>
      <c r="R28" s="20" t="str">
        <f aca="true">IF($A28="","",IF($N28="","",TODAY()-$N28))</f>
        <v/>
      </c>
      <c r="S28" s="30"/>
      <c r="T28" s="30"/>
      <c r="U28" s="30"/>
      <c r="V28" s="30"/>
      <c r="W28" s="30"/>
      <c r="X28" s="34"/>
      <c r="Z28" s="3" t="n">
        <f aca="false">IF($A28="",0,IF(AND($G28&lt;0,$J28&lt;&gt;"Completed",$J28&lt;&gt;"On Hold"),1,0))</f>
        <v>0</v>
      </c>
      <c r="AA28" s="3" t="n">
        <f aca="false">IF($A28="",0,IF(AND($G28&gt;=0,$G28&lt;=7,$J28&lt;&gt;"Completed",$J28&lt;&gt;"On Hold"),1,0))</f>
        <v>0</v>
      </c>
      <c r="AB28" s="3" t="n">
        <f aca="false">IF($A28="",0,IF(AND($O28="Us",$J28&lt;&gt;"Completed"),1,0))</f>
        <v>0</v>
      </c>
      <c r="AC28" s="3" t="n">
        <f aca="false">IF($A28="",0,IF(AND($H28="Awaiting Feedback",$R28&lt;&gt;"",$R28&gt;7),1,0))</f>
        <v>0</v>
      </c>
      <c r="AD28" s="3" t="n">
        <f aca="false">IF($A28="",0,IF(AND($M28&lt;&gt;"",$M28&lt;=1,$J28&lt;&gt;"Completed"),1,0))</f>
        <v>0</v>
      </c>
      <c r="AE28" s="3" t="n">
        <f aca="false">IFERROR(IF(AND($A28&lt;&gt;"",INDEX('Project Financials'!$AC$5:$AC$64,MATCH($A28,'Project Financials'!$A$5:$A$64,0))&lt;0.2,INDEX('Project Financials'!$D$5:$D$64,MATCH($A28,'Project Financials'!$A$5:$A$64,0))&gt;0),1,0),0)</f>
        <v>0</v>
      </c>
      <c r="AF28" s="3" t="n">
        <f aca="false">IFERROR(IF(OR(INDEX(Payments!$N$5:$N$64,MATCH($A28,Payments!$B$5:$B$64,0))="Overdue",INDEX(Payments!$N$5:$N$64,MATCH($A28,Payments!$B$5:$B$64,0))="Awaiting Deposit"),1,0),0)</f>
        <v>0</v>
      </c>
      <c r="AG28" s="3" t="n">
        <f aca="false">IF($A28="",0,IF(SUM(Z28:AF28)&gt;0,1,0))</f>
        <v>0</v>
      </c>
      <c r="AH28" s="3" t="str">
        <f aca="false">IF($AG28=0,"",LEFT((IF($Z28=1,"Overdue; ",""))&amp;(IF($AA28=1,"Deadline ≤ 7 days; ",""))&amp;(IF($AB28=1,"Action needed from us; ",""))&amp;(IF($AC28=1,"Client feedback overdue; ",""))&amp;(IF($AD28=1,"At iteration limit; ",""))&amp;(IF($AE28=1,"Low margin; ",""))&amp;(IF($AF28=1,"Unpaid invoice; ","")),LEN((IF($Z28=1,"Overdue; ",""))&amp;(IF($AA28=1,"Deadline ≤ 7 days; ",""))&amp;(IF($AB28=1,"Action needed from us; ",""))&amp;(IF($AC28=1,"Client feedback overdue; ",""))&amp;(IF($AD28=1,"At iteration limit; ",""))&amp;(IF($AE28=1,"Low margin; ",""))&amp;(IF($AF28=1,"Unpaid invoice; ","")))-2))</f>
        <v/>
      </c>
      <c r="AI28" s="3" t="str">
        <f aca="false">IF(AND($A28&lt;&gt;"",$J28&lt;&gt;"Completed",$J28&lt;&gt;"On Hold"),$F28*1000+(ROW()-ROW($A$5)+1),"")</f>
        <v/>
      </c>
      <c r="AJ28" s="3" t="str">
        <f aca="false">IF($AG28=1,ROW()-ROW($A$5)+1,"")</f>
        <v/>
      </c>
      <c r="AK28" s="35"/>
    </row>
    <row r="29" customFormat="false" ht="25.5" hidden="false" customHeight="true" outlineLevel="0" collapsed="false">
      <c r="A29" s="30"/>
      <c r="B29" s="30"/>
      <c r="C29" s="20" t="str">
        <f aca="false">IFERROR(INDEX(Clients!$B$5:$B$44,MATCH($B29,Clients!$A$5:$A$44,0)),"")</f>
        <v/>
      </c>
      <c r="D29" s="30"/>
      <c r="E29" s="31"/>
      <c r="F29" s="31"/>
      <c r="G29" s="20" t="str">
        <f aca="true">IF($A29="","",$F29-TODAY())</f>
        <v/>
      </c>
      <c r="H29" s="30"/>
      <c r="I29" s="30"/>
      <c r="J29" s="20" t="str">
        <f aca="false">IF($A29="","",_xlfn.IFS(OR($W29="Yes",$H29="Complete"),"Completed",$H29="On Hold","On Hold",$G29&lt;0,"Overdue",$O29="Client","Waiting on Client",$G29&lt;=7,"At Risk",TRUE(),"On Track"))</f>
        <v/>
      </c>
      <c r="K29" s="20" t="str">
        <f aca="false">IF($A29="","",IFERROR(_xlfn.MAXIFS('Iteration Tracker'!$D$5:$D$124,'Iteration Tracker'!$A$5:$A$124,$A29),0))</f>
        <v/>
      </c>
      <c r="L29" s="30"/>
      <c r="M29" s="20" t="str">
        <f aca="false">IF($A29="","",$L29-$K29)</f>
        <v/>
      </c>
      <c r="N29" s="31"/>
      <c r="O29" s="30"/>
      <c r="P29" s="34"/>
      <c r="Q29" s="31"/>
      <c r="R29" s="20" t="str">
        <f aca="true">IF($A29="","",IF($N29="","",TODAY()-$N29))</f>
        <v/>
      </c>
      <c r="S29" s="30"/>
      <c r="T29" s="30"/>
      <c r="U29" s="30"/>
      <c r="V29" s="30"/>
      <c r="W29" s="30"/>
      <c r="X29" s="34"/>
      <c r="Z29" s="3" t="n">
        <f aca="false">IF($A29="",0,IF(AND($G29&lt;0,$J29&lt;&gt;"Completed",$J29&lt;&gt;"On Hold"),1,0))</f>
        <v>0</v>
      </c>
      <c r="AA29" s="3" t="n">
        <f aca="false">IF($A29="",0,IF(AND($G29&gt;=0,$G29&lt;=7,$J29&lt;&gt;"Completed",$J29&lt;&gt;"On Hold"),1,0))</f>
        <v>0</v>
      </c>
      <c r="AB29" s="3" t="n">
        <f aca="false">IF($A29="",0,IF(AND($O29="Us",$J29&lt;&gt;"Completed"),1,0))</f>
        <v>0</v>
      </c>
      <c r="AC29" s="3" t="n">
        <f aca="false">IF($A29="",0,IF(AND($H29="Awaiting Feedback",$R29&lt;&gt;"",$R29&gt;7),1,0))</f>
        <v>0</v>
      </c>
      <c r="AD29" s="3" t="n">
        <f aca="false">IF($A29="",0,IF(AND($M29&lt;&gt;"",$M29&lt;=1,$J29&lt;&gt;"Completed"),1,0))</f>
        <v>0</v>
      </c>
      <c r="AE29" s="3" t="n">
        <f aca="false">IFERROR(IF(AND($A29&lt;&gt;"",INDEX('Project Financials'!$AC$5:$AC$64,MATCH($A29,'Project Financials'!$A$5:$A$64,0))&lt;0.2,INDEX('Project Financials'!$D$5:$D$64,MATCH($A29,'Project Financials'!$A$5:$A$64,0))&gt;0),1,0),0)</f>
        <v>0</v>
      </c>
      <c r="AF29" s="3" t="n">
        <f aca="false">IFERROR(IF(OR(INDEX(Payments!$N$5:$N$64,MATCH($A29,Payments!$B$5:$B$64,0))="Overdue",INDEX(Payments!$N$5:$N$64,MATCH($A29,Payments!$B$5:$B$64,0))="Awaiting Deposit"),1,0),0)</f>
        <v>0</v>
      </c>
      <c r="AG29" s="3" t="n">
        <f aca="false">IF($A29="",0,IF(SUM(Z29:AF29)&gt;0,1,0))</f>
        <v>0</v>
      </c>
      <c r="AH29" s="3" t="str">
        <f aca="false">IF($AG29=0,"",LEFT((IF($Z29=1,"Overdue; ",""))&amp;(IF($AA29=1,"Deadline ≤ 7 days; ",""))&amp;(IF($AB29=1,"Action needed from us; ",""))&amp;(IF($AC29=1,"Client feedback overdue; ",""))&amp;(IF($AD29=1,"At iteration limit; ",""))&amp;(IF($AE29=1,"Low margin; ",""))&amp;(IF($AF29=1,"Unpaid invoice; ","")),LEN((IF($Z29=1,"Overdue; ",""))&amp;(IF($AA29=1,"Deadline ≤ 7 days; ",""))&amp;(IF($AB29=1,"Action needed from us; ",""))&amp;(IF($AC29=1,"Client feedback overdue; ",""))&amp;(IF($AD29=1,"At iteration limit; ",""))&amp;(IF($AE29=1,"Low margin; ",""))&amp;(IF($AF29=1,"Unpaid invoice; ","")))-2))</f>
        <v/>
      </c>
      <c r="AI29" s="3" t="str">
        <f aca="false">IF(AND($A29&lt;&gt;"",$J29&lt;&gt;"Completed",$J29&lt;&gt;"On Hold"),$F29*1000+(ROW()-ROW($A$5)+1),"")</f>
        <v/>
      </c>
      <c r="AJ29" s="3" t="str">
        <f aca="false">IF($AG29=1,ROW()-ROW($A$5)+1,"")</f>
        <v/>
      </c>
      <c r="AK29" s="35"/>
    </row>
    <row r="30" customFormat="false" ht="25.5" hidden="false" customHeight="true" outlineLevel="0" collapsed="false">
      <c r="A30" s="30"/>
      <c r="B30" s="30"/>
      <c r="C30" s="20" t="str">
        <f aca="false">IFERROR(INDEX(Clients!$B$5:$B$44,MATCH($B30,Clients!$A$5:$A$44,0)),"")</f>
        <v/>
      </c>
      <c r="D30" s="30"/>
      <c r="E30" s="31"/>
      <c r="F30" s="31"/>
      <c r="G30" s="20" t="str">
        <f aca="true">IF($A30="","",$F30-TODAY())</f>
        <v/>
      </c>
      <c r="H30" s="30"/>
      <c r="I30" s="30"/>
      <c r="J30" s="20" t="str">
        <f aca="false">IF($A30="","",_xlfn.IFS(OR($W30="Yes",$H30="Complete"),"Completed",$H30="On Hold","On Hold",$G30&lt;0,"Overdue",$O30="Client","Waiting on Client",$G30&lt;=7,"At Risk",TRUE(),"On Track"))</f>
        <v/>
      </c>
      <c r="K30" s="20" t="str">
        <f aca="false">IF($A30="","",IFERROR(_xlfn.MAXIFS('Iteration Tracker'!$D$5:$D$124,'Iteration Tracker'!$A$5:$A$124,$A30),0))</f>
        <v/>
      </c>
      <c r="L30" s="30"/>
      <c r="M30" s="20" t="str">
        <f aca="false">IF($A30="","",$L30-$K30)</f>
        <v/>
      </c>
      <c r="N30" s="31"/>
      <c r="O30" s="30"/>
      <c r="P30" s="34"/>
      <c r="Q30" s="31"/>
      <c r="R30" s="20" t="str">
        <f aca="true">IF($A30="","",IF($N30="","",TODAY()-$N30))</f>
        <v/>
      </c>
      <c r="S30" s="30"/>
      <c r="T30" s="30"/>
      <c r="U30" s="30"/>
      <c r="V30" s="30"/>
      <c r="W30" s="30"/>
      <c r="X30" s="34"/>
      <c r="Z30" s="3" t="n">
        <f aca="false">IF($A30="",0,IF(AND($G30&lt;0,$J30&lt;&gt;"Completed",$J30&lt;&gt;"On Hold"),1,0))</f>
        <v>0</v>
      </c>
      <c r="AA30" s="3" t="n">
        <f aca="false">IF($A30="",0,IF(AND($G30&gt;=0,$G30&lt;=7,$J30&lt;&gt;"Completed",$J30&lt;&gt;"On Hold"),1,0))</f>
        <v>0</v>
      </c>
      <c r="AB30" s="3" t="n">
        <f aca="false">IF($A30="",0,IF(AND($O30="Us",$J30&lt;&gt;"Completed"),1,0))</f>
        <v>0</v>
      </c>
      <c r="AC30" s="3" t="n">
        <f aca="false">IF($A30="",0,IF(AND($H30="Awaiting Feedback",$R30&lt;&gt;"",$R30&gt;7),1,0))</f>
        <v>0</v>
      </c>
      <c r="AD30" s="3" t="n">
        <f aca="false">IF($A30="",0,IF(AND($M30&lt;&gt;"",$M30&lt;=1,$J30&lt;&gt;"Completed"),1,0))</f>
        <v>0</v>
      </c>
      <c r="AE30" s="3" t="n">
        <f aca="false">IFERROR(IF(AND($A30&lt;&gt;"",INDEX('Project Financials'!$AC$5:$AC$64,MATCH($A30,'Project Financials'!$A$5:$A$64,0))&lt;0.2,INDEX('Project Financials'!$D$5:$D$64,MATCH($A30,'Project Financials'!$A$5:$A$64,0))&gt;0),1,0),0)</f>
        <v>0</v>
      </c>
      <c r="AF30" s="3" t="n">
        <f aca="false">IFERROR(IF(OR(INDEX(Payments!$N$5:$N$64,MATCH($A30,Payments!$B$5:$B$64,0))="Overdue",INDEX(Payments!$N$5:$N$64,MATCH($A30,Payments!$B$5:$B$64,0))="Awaiting Deposit"),1,0),0)</f>
        <v>0</v>
      </c>
      <c r="AG30" s="3" t="n">
        <f aca="false">IF($A30="",0,IF(SUM(Z30:AF30)&gt;0,1,0))</f>
        <v>0</v>
      </c>
      <c r="AH30" s="3" t="str">
        <f aca="false">IF($AG30=0,"",LEFT((IF($Z30=1,"Overdue; ",""))&amp;(IF($AA30=1,"Deadline ≤ 7 days; ",""))&amp;(IF($AB30=1,"Action needed from us; ",""))&amp;(IF($AC30=1,"Client feedback overdue; ",""))&amp;(IF($AD30=1,"At iteration limit; ",""))&amp;(IF($AE30=1,"Low margin; ",""))&amp;(IF($AF30=1,"Unpaid invoice; ","")),LEN((IF($Z30=1,"Overdue; ",""))&amp;(IF($AA30=1,"Deadline ≤ 7 days; ",""))&amp;(IF($AB30=1,"Action needed from us; ",""))&amp;(IF($AC30=1,"Client feedback overdue; ",""))&amp;(IF($AD30=1,"At iteration limit; ",""))&amp;(IF($AE30=1,"Low margin; ",""))&amp;(IF($AF30=1,"Unpaid invoice; ","")))-2))</f>
        <v/>
      </c>
      <c r="AI30" s="3" t="str">
        <f aca="false">IF(AND($A30&lt;&gt;"",$J30&lt;&gt;"Completed",$J30&lt;&gt;"On Hold"),$F30*1000+(ROW()-ROW($A$5)+1),"")</f>
        <v/>
      </c>
      <c r="AJ30" s="3" t="str">
        <f aca="false">IF($AG30=1,ROW()-ROW($A$5)+1,"")</f>
        <v/>
      </c>
      <c r="AK30" s="35"/>
    </row>
    <row r="31" customFormat="false" ht="25.5" hidden="false" customHeight="true" outlineLevel="0" collapsed="false">
      <c r="A31" s="30"/>
      <c r="B31" s="30"/>
      <c r="C31" s="20" t="str">
        <f aca="false">IFERROR(INDEX(Clients!$B$5:$B$44,MATCH($B31,Clients!$A$5:$A$44,0)),"")</f>
        <v/>
      </c>
      <c r="D31" s="30"/>
      <c r="E31" s="31"/>
      <c r="F31" s="31"/>
      <c r="G31" s="20" t="str">
        <f aca="true">IF($A31="","",$F31-TODAY())</f>
        <v/>
      </c>
      <c r="H31" s="30"/>
      <c r="I31" s="30"/>
      <c r="J31" s="20" t="str">
        <f aca="false">IF($A31="","",_xlfn.IFS(OR($W31="Yes",$H31="Complete"),"Completed",$H31="On Hold","On Hold",$G31&lt;0,"Overdue",$O31="Client","Waiting on Client",$G31&lt;=7,"At Risk",TRUE(),"On Track"))</f>
        <v/>
      </c>
      <c r="K31" s="20" t="str">
        <f aca="false">IF($A31="","",IFERROR(_xlfn.MAXIFS('Iteration Tracker'!$D$5:$D$124,'Iteration Tracker'!$A$5:$A$124,$A31),0))</f>
        <v/>
      </c>
      <c r="L31" s="30"/>
      <c r="M31" s="20" t="str">
        <f aca="false">IF($A31="","",$L31-$K31)</f>
        <v/>
      </c>
      <c r="N31" s="31"/>
      <c r="O31" s="30"/>
      <c r="P31" s="34"/>
      <c r="Q31" s="31"/>
      <c r="R31" s="20" t="str">
        <f aca="true">IF($A31="","",IF($N31="","",TODAY()-$N31))</f>
        <v/>
      </c>
      <c r="S31" s="30"/>
      <c r="T31" s="30"/>
      <c r="U31" s="30"/>
      <c r="V31" s="30"/>
      <c r="W31" s="30"/>
      <c r="X31" s="34"/>
      <c r="Z31" s="3" t="n">
        <f aca="false">IF($A31="",0,IF(AND($G31&lt;0,$J31&lt;&gt;"Completed",$J31&lt;&gt;"On Hold"),1,0))</f>
        <v>0</v>
      </c>
      <c r="AA31" s="3" t="n">
        <f aca="false">IF($A31="",0,IF(AND($G31&gt;=0,$G31&lt;=7,$J31&lt;&gt;"Completed",$J31&lt;&gt;"On Hold"),1,0))</f>
        <v>0</v>
      </c>
      <c r="AB31" s="3" t="n">
        <f aca="false">IF($A31="",0,IF(AND($O31="Us",$J31&lt;&gt;"Completed"),1,0))</f>
        <v>0</v>
      </c>
      <c r="AC31" s="3" t="n">
        <f aca="false">IF($A31="",0,IF(AND($H31="Awaiting Feedback",$R31&lt;&gt;"",$R31&gt;7),1,0))</f>
        <v>0</v>
      </c>
      <c r="AD31" s="3" t="n">
        <f aca="false">IF($A31="",0,IF(AND($M31&lt;&gt;"",$M31&lt;=1,$J31&lt;&gt;"Completed"),1,0))</f>
        <v>0</v>
      </c>
      <c r="AE31" s="3" t="n">
        <f aca="false">IFERROR(IF(AND($A31&lt;&gt;"",INDEX('Project Financials'!$AC$5:$AC$64,MATCH($A31,'Project Financials'!$A$5:$A$64,0))&lt;0.2,INDEX('Project Financials'!$D$5:$D$64,MATCH($A31,'Project Financials'!$A$5:$A$64,0))&gt;0),1,0),0)</f>
        <v>0</v>
      </c>
      <c r="AF31" s="3" t="n">
        <f aca="false">IFERROR(IF(OR(INDEX(Payments!$N$5:$N$64,MATCH($A31,Payments!$B$5:$B$64,0))="Overdue",INDEX(Payments!$N$5:$N$64,MATCH($A31,Payments!$B$5:$B$64,0))="Awaiting Deposit"),1,0),0)</f>
        <v>0</v>
      </c>
      <c r="AG31" s="3" t="n">
        <f aca="false">IF($A31="",0,IF(SUM(Z31:AF31)&gt;0,1,0))</f>
        <v>0</v>
      </c>
      <c r="AH31" s="3" t="str">
        <f aca="false">IF($AG31=0,"",LEFT((IF($Z31=1,"Overdue; ",""))&amp;(IF($AA31=1,"Deadline ≤ 7 days; ",""))&amp;(IF($AB31=1,"Action needed from us; ",""))&amp;(IF($AC31=1,"Client feedback overdue; ",""))&amp;(IF($AD31=1,"At iteration limit; ",""))&amp;(IF($AE31=1,"Low margin; ",""))&amp;(IF($AF31=1,"Unpaid invoice; ","")),LEN((IF($Z31=1,"Overdue; ",""))&amp;(IF($AA31=1,"Deadline ≤ 7 days; ",""))&amp;(IF($AB31=1,"Action needed from us; ",""))&amp;(IF($AC31=1,"Client feedback overdue; ",""))&amp;(IF($AD31=1,"At iteration limit; ",""))&amp;(IF($AE31=1,"Low margin; ",""))&amp;(IF($AF31=1,"Unpaid invoice; ","")))-2))</f>
        <v/>
      </c>
      <c r="AI31" s="3" t="str">
        <f aca="false">IF(AND($A31&lt;&gt;"",$J31&lt;&gt;"Completed",$J31&lt;&gt;"On Hold"),$F31*1000+(ROW()-ROW($A$5)+1),"")</f>
        <v/>
      </c>
      <c r="AJ31" s="3" t="str">
        <f aca="false">IF($AG31=1,ROW()-ROW($A$5)+1,"")</f>
        <v/>
      </c>
      <c r="AK31" s="35"/>
    </row>
    <row r="32" customFormat="false" ht="25.5" hidden="false" customHeight="true" outlineLevel="0" collapsed="false">
      <c r="A32" s="30"/>
      <c r="B32" s="30"/>
      <c r="C32" s="20" t="str">
        <f aca="false">IFERROR(INDEX(Clients!$B$5:$B$44,MATCH($B32,Clients!$A$5:$A$44,0)),"")</f>
        <v/>
      </c>
      <c r="D32" s="30"/>
      <c r="E32" s="31"/>
      <c r="F32" s="31"/>
      <c r="G32" s="20" t="str">
        <f aca="true">IF($A32="","",$F32-TODAY())</f>
        <v/>
      </c>
      <c r="H32" s="30"/>
      <c r="I32" s="30"/>
      <c r="J32" s="20" t="str">
        <f aca="false">IF($A32="","",_xlfn.IFS(OR($W32="Yes",$H32="Complete"),"Completed",$H32="On Hold","On Hold",$G32&lt;0,"Overdue",$O32="Client","Waiting on Client",$G32&lt;=7,"At Risk",TRUE(),"On Track"))</f>
        <v/>
      </c>
      <c r="K32" s="20" t="str">
        <f aca="false">IF($A32="","",IFERROR(_xlfn.MAXIFS('Iteration Tracker'!$D$5:$D$124,'Iteration Tracker'!$A$5:$A$124,$A32),0))</f>
        <v/>
      </c>
      <c r="L32" s="30"/>
      <c r="M32" s="20" t="str">
        <f aca="false">IF($A32="","",$L32-$K32)</f>
        <v/>
      </c>
      <c r="N32" s="31"/>
      <c r="O32" s="30"/>
      <c r="P32" s="34"/>
      <c r="Q32" s="31"/>
      <c r="R32" s="20" t="str">
        <f aca="true">IF($A32="","",IF($N32="","",TODAY()-$N32))</f>
        <v/>
      </c>
      <c r="S32" s="30"/>
      <c r="T32" s="30"/>
      <c r="U32" s="30"/>
      <c r="V32" s="30"/>
      <c r="W32" s="30"/>
      <c r="X32" s="34"/>
      <c r="Z32" s="3" t="n">
        <f aca="false">IF($A32="",0,IF(AND($G32&lt;0,$J32&lt;&gt;"Completed",$J32&lt;&gt;"On Hold"),1,0))</f>
        <v>0</v>
      </c>
      <c r="AA32" s="3" t="n">
        <f aca="false">IF($A32="",0,IF(AND($G32&gt;=0,$G32&lt;=7,$J32&lt;&gt;"Completed",$J32&lt;&gt;"On Hold"),1,0))</f>
        <v>0</v>
      </c>
      <c r="AB32" s="3" t="n">
        <f aca="false">IF($A32="",0,IF(AND($O32="Us",$J32&lt;&gt;"Completed"),1,0))</f>
        <v>0</v>
      </c>
      <c r="AC32" s="3" t="n">
        <f aca="false">IF($A32="",0,IF(AND($H32="Awaiting Feedback",$R32&lt;&gt;"",$R32&gt;7),1,0))</f>
        <v>0</v>
      </c>
      <c r="AD32" s="3" t="n">
        <f aca="false">IF($A32="",0,IF(AND($M32&lt;&gt;"",$M32&lt;=1,$J32&lt;&gt;"Completed"),1,0))</f>
        <v>0</v>
      </c>
      <c r="AE32" s="3" t="n">
        <f aca="false">IFERROR(IF(AND($A32&lt;&gt;"",INDEX('Project Financials'!$AC$5:$AC$64,MATCH($A32,'Project Financials'!$A$5:$A$64,0))&lt;0.2,INDEX('Project Financials'!$D$5:$D$64,MATCH($A32,'Project Financials'!$A$5:$A$64,0))&gt;0),1,0),0)</f>
        <v>0</v>
      </c>
      <c r="AF32" s="3" t="n">
        <f aca="false">IFERROR(IF(OR(INDEX(Payments!$N$5:$N$64,MATCH($A32,Payments!$B$5:$B$64,0))="Overdue",INDEX(Payments!$N$5:$N$64,MATCH($A32,Payments!$B$5:$B$64,0))="Awaiting Deposit"),1,0),0)</f>
        <v>0</v>
      </c>
      <c r="AG32" s="3" t="n">
        <f aca="false">IF($A32="",0,IF(SUM(Z32:AF32)&gt;0,1,0))</f>
        <v>0</v>
      </c>
      <c r="AH32" s="3" t="str">
        <f aca="false">IF($AG32=0,"",LEFT((IF($Z32=1,"Overdue; ",""))&amp;(IF($AA32=1,"Deadline ≤ 7 days; ",""))&amp;(IF($AB32=1,"Action needed from us; ",""))&amp;(IF($AC32=1,"Client feedback overdue; ",""))&amp;(IF($AD32=1,"At iteration limit; ",""))&amp;(IF($AE32=1,"Low margin; ",""))&amp;(IF($AF32=1,"Unpaid invoice; ","")),LEN((IF($Z32=1,"Overdue; ",""))&amp;(IF($AA32=1,"Deadline ≤ 7 days; ",""))&amp;(IF($AB32=1,"Action needed from us; ",""))&amp;(IF($AC32=1,"Client feedback overdue; ",""))&amp;(IF($AD32=1,"At iteration limit; ",""))&amp;(IF($AE32=1,"Low margin; ",""))&amp;(IF($AF32=1,"Unpaid invoice; ","")))-2))</f>
        <v/>
      </c>
      <c r="AI32" s="3" t="str">
        <f aca="false">IF(AND($A32&lt;&gt;"",$J32&lt;&gt;"Completed",$J32&lt;&gt;"On Hold"),$F32*1000+(ROW()-ROW($A$5)+1),"")</f>
        <v/>
      </c>
      <c r="AJ32" s="3" t="str">
        <f aca="false">IF($AG32=1,ROW()-ROW($A$5)+1,"")</f>
        <v/>
      </c>
      <c r="AK32" s="35"/>
    </row>
    <row r="33" customFormat="false" ht="25.5" hidden="false" customHeight="true" outlineLevel="0" collapsed="false">
      <c r="A33" s="30"/>
      <c r="B33" s="30"/>
      <c r="C33" s="20" t="str">
        <f aca="false">IFERROR(INDEX(Clients!$B$5:$B$44,MATCH($B33,Clients!$A$5:$A$44,0)),"")</f>
        <v/>
      </c>
      <c r="D33" s="30"/>
      <c r="E33" s="31"/>
      <c r="F33" s="31"/>
      <c r="G33" s="20" t="str">
        <f aca="true">IF($A33="","",$F33-TODAY())</f>
        <v/>
      </c>
      <c r="H33" s="30"/>
      <c r="I33" s="30"/>
      <c r="J33" s="20" t="str">
        <f aca="false">IF($A33="","",_xlfn.IFS(OR($W33="Yes",$H33="Complete"),"Completed",$H33="On Hold","On Hold",$G33&lt;0,"Overdue",$O33="Client","Waiting on Client",$G33&lt;=7,"At Risk",TRUE(),"On Track"))</f>
        <v/>
      </c>
      <c r="K33" s="20" t="str">
        <f aca="false">IF($A33="","",IFERROR(_xlfn.MAXIFS('Iteration Tracker'!$D$5:$D$124,'Iteration Tracker'!$A$5:$A$124,$A33),0))</f>
        <v/>
      </c>
      <c r="L33" s="30"/>
      <c r="M33" s="20" t="str">
        <f aca="false">IF($A33="","",$L33-$K33)</f>
        <v/>
      </c>
      <c r="N33" s="31"/>
      <c r="O33" s="30"/>
      <c r="P33" s="34"/>
      <c r="Q33" s="31"/>
      <c r="R33" s="20" t="str">
        <f aca="true">IF($A33="","",IF($N33="","",TODAY()-$N33))</f>
        <v/>
      </c>
      <c r="S33" s="30"/>
      <c r="T33" s="30"/>
      <c r="U33" s="30"/>
      <c r="V33" s="30"/>
      <c r="W33" s="30"/>
      <c r="X33" s="34"/>
      <c r="Z33" s="3" t="n">
        <f aca="false">IF($A33="",0,IF(AND($G33&lt;0,$J33&lt;&gt;"Completed",$J33&lt;&gt;"On Hold"),1,0))</f>
        <v>0</v>
      </c>
      <c r="AA33" s="3" t="n">
        <f aca="false">IF($A33="",0,IF(AND($G33&gt;=0,$G33&lt;=7,$J33&lt;&gt;"Completed",$J33&lt;&gt;"On Hold"),1,0))</f>
        <v>0</v>
      </c>
      <c r="AB33" s="3" t="n">
        <f aca="false">IF($A33="",0,IF(AND($O33="Us",$J33&lt;&gt;"Completed"),1,0))</f>
        <v>0</v>
      </c>
      <c r="AC33" s="3" t="n">
        <f aca="false">IF($A33="",0,IF(AND($H33="Awaiting Feedback",$R33&lt;&gt;"",$R33&gt;7),1,0))</f>
        <v>0</v>
      </c>
      <c r="AD33" s="3" t="n">
        <f aca="false">IF($A33="",0,IF(AND($M33&lt;&gt;"",$M33&lt;=1,$J33&lt;&gt;"Completed"),1,0))</f>
        <v>0</v>
      </c>
      <c r="AE33" s="3" t="n">
        <f aca="false">IFERROR(IF(AND($A33&lt;&gt;"",INDEX('Project Financials'!$AC$5:$AC$64,MATCH($A33,'Project Financials'!$A$5:$A$64,0))&lt;0.2,INDEX('Project Financials'!$D$5:$D$64,MATCH($A33,'Project Financials'!$A$5:$A$64,0))&gt;0),1,0),0)</f>
        <v>0</v>
      </c>
      <c r="AF33" s="3" t="n">
        <f aca="false">IFERROR(IF(OR(INDEX(Payments!$N$5:$N$64,MATCH($A33,Payments!$B$5:$B$64,0))="Overdue",INDEX(Payments!$N$5:$N$64,MATCH($A33,Payments!$B$5:$B$64,0))="Awaiting Deposit"),1,0),0)</f>
        <v>0</v>
      </c>
      <c r="AG33" s="3" t="n">
        <f aca="false">IF($A33="",0,IF(SUM(Z33:AF33)&gt;0,1,0))</f>
        <v>0</v>
      </c>
      <c r="AH33" s="3" t="str">
        <f aca="false">IF($AG33=0,"",LEFT((IF($Z33=1,"Overdue; ",""))&amp;(IF($AA33=1,"Deadline ≤ 7 days; ",""))&amp;(IF($AB33=1,"Action needed from us; ",""))&amp;(IF($AC33=1,"Client feedback overdue; ",""))&amp;(IF($AD33=1,"At iteration limit; ",""))&amp;(IF($AE33=1,"Low margin; ",""))&amp;(IF($AF33=1,"Unpaid invoice; ","")),LEN((IF($Z33=1,"Overdue; ",""))&amp;(IF($AA33=1,"Deadline ≤ 7 days; ",""))&amp;(IF($AB33=1,"Action needed from us; ",""))&amp;(IF($AC33=1,"Client feedback overdue; ",""))&amp;(IF($AD33=1,"At iteration limit; ",""))&amp;(IF($AE33=1,"Low margin; ",""))&amp;(IF($AF33=1,"Unpaid invoice; ","")))-2))</f>
        <v/>
      </c>
      <c r="AI33" s="3" t="str">
        <f aca="false">IF(AND($A33&lt;&gt;"",$J33&lt;&gt;"Completed",$J33&lt;&gt;"On Hold"),$F33*1000+(ROW()-ROW($A$5)+1),"")</f>
        <v/>
      </c>
      <c r="AJ33" s="3" t="str">
        <f aca="false">IF($AG33=1,ROW()-ROW($A$5)+1,"")</f>
        <v/>
      </c>
      <c r="AK33" s="35"/>
    </row>
    <row r="34" customFormat="false" ht="25.5" hidden="false" customHeight="true" outlineLevel="0" collapsed="false">
      <c r="A34" s="30"/>
      <c r="B34" s="30"/>
      <c r="C34" s="20" t="str">
        <f aca="false">IFERROR(INDEX(Clients!$B$5:$B$44,MATCH($B34,Clients!$A$5:$A$44,0)),"")</f>
        <v/>
      </c>
      <c r="D34" s="30"/>
      <c r="E34" s="31"/>
      <c r="F34" s="31"/>
      <c r="G34" s="20" t="str">
        <f aca="true">IF($A34="","",$F34-TODAY())</f>
        <v/>
      </c>
      <c r="H34" s="30"/>
      <c r="I34" s="30"/>
      <c r="J34" s="20" t="str">
        <f aca="false">IF($A34="","",_xlfn.IFS(OR($W34="Yes",$H34="Complete"),"Completed",$H34="On Hold","On Hold",$G34&lt;0,"Overdue",$O34="Client","Waiting on Client",$G34&lt;=7,"At Risk",TRUE(),"On Track"))</f>
        <v/>
      </c>
      <c r="K34" s="20" t="str">
        <f aca="false">IF($A34="","",IFERROR(_xlfn.MAXIFS('Iteration Tracker'!$D$5:$D$124,'Iteration Tracker'!$A$5:$A$124,$A34),0))</f>
        <v/>
      </c>
      <c r="L34" s="30"/>
      <c r="M34" s="20" t="str">
        <f aca="false">IF($A34="","",$L34-$K34)</f>
        <v/>
      </c>
      <c r="N34" s="31"/>
      <c r="O34" s="30"/>
      <c r="P34" s="34"/>
      <c r="Q34" s="31"/>
      <c r="R34" s="20" t="str">
        <f aca="true">IF($A34="","",IF($N34="","",TODAY()-$N34))</f>
        <v/>
      </c>
      <c r="S34" s="30"/>
      <c r="T34" s="30"/>
      <c r="U34" s="30"/>
      <c r="V34" s="30"/>
      <c r="W34" s="30"/>
      <c r="X34" s="34"/>
      <c r="Z34" s="3" t="n">
        <f aca="false">IF($A34="",0,IF(AND($G34&lt;0,$J34&lt;&gt;"Completed",$J34&lt;&gt;"On Hold"),1,0))</f>
        <v>0</v>
      </c>
      <c r="AA34" s="3" t="n">
        <f aca="false">IF($A34="",0,IF(AND($G34&gt;=0,$G34&lt;=7,$J34&lt;&gt;"Completed",$J34&lt;&gt;"On Hold"),1,0))</f>
        <v>0</v>
      </c>
      <c r="AB34" s="3" t="n">
        <f aca="false">IF($A34="",0,IF(AND($O34="Us",$J34&lt;&gt;"Completed"),1,0))</f>
        <v>0</v>
      </c>
      <c r="AC34" s="3" t="n">
        <f aca="false">IF($A34="",0,IF(AND($H34="Awaiting Feedback",$R34&lt;&gt;"",$R34&gt;7),1,0))</f>
        <v>0</v>
      </c>
      <c r="AD34" s="3" t="n">
        <f aca="false">IF($A34="",0,IF(AND($M34&lt;&gt;"",$M34&lt;=1,$J34&lt;&gt;"Completed"),1,0))</f>
        <v>0</v>
      </c>
      <c r="AE34" s="3" t="n">
        <f aca="false">IFERROR(IF(AND($A34&lt;&gt;"",INDEX('Project Financials'!$AC$5:$AC$64,MATCH($A34,'Project Financials'!$A$5:$A$64,0))&lt;0.2,INDEX('Project Financials'!$D$5:$D$64,MATCH($A34,'Project Financials'!$A$5:$A$64,0))&gt;0),1,0),0)</f>
        <v>0</v>
      </c>
      <c r="AF34" s="3" t="n">
        <f aca="false">IFERROR(IF(OR(INDEX(Payments!$N$5:$N$64,MATCH($A34,Payments!$B$5:$B$64,0))="Overdue",INDEX(Payments!$N$5:$N$64,MATCH($A34,Payments!$B$5:$B$64,0))="Awaiting Deposit"),1,0),0)</f>
        <v>0</v>
      </c>
      <c r="AG34" s="3" t="n">
        <f aca="false">IF($A34="",0,IF(SUM(Z34:AF34)&gt;0,1,0))</f>
        <v>0</v>
      </c>
      <c r="AH34" s="3" t="str">
        <f aca="false">IF($AG34=0,"",LEFT((IF($Z34=1,"Overdue; ",""))&amp;(IF($AA34=1,"Deadline ≤ 7 days; ",""))&amp;(IF($AB34=1,"Action needed from us; ",""))&amp;(IF($AC34=1,"Client feedback overdue; ",""))&amp;(IF($AD34=1,"At iteration limit; ",""))&amp;(IF($AE34=1,"Low margin; ",""))&amp;(IF($AF34=1,"Unpaid invoice; ","")),LEN((IF($Z34=1,"Overdue; ",""))&amp;(IF($AA34=1,"Deadline ≤ 7 days; ",""))&amp;(IF($AB34=1,"Action needed from us; ",""))&amp;(IF($AC34=1,"Client feedback overdue; ",""))&amp;(IF($AD34=1,"At iteration limit; ",""))&amp;(IF($AE34=1,"Low margin; ",""))&amp;(IF($AF34=1,"Unpaid invoice; ","")))-2))</f>
        <v/>
      </c>
      <c r="AI34" s="3" t="str">
        <f aca="false">IF(AND($A34&lt;&gt;"",$J34&lt;&gt;"Completed",$J34&lt;&gt;"On Hold"),$F34*1000+(ROW()-ROW($A$5)+1),"")</f>
        <v/>
      </c>
      <c r="AJ34" s="3" t="str">
        <f aca="false">IF($AG34=1,ROW()-ROW($A$5)+1,"")</f>
        <v/>
      </c>
      <c r="AK34" s="35"/>
    </row>
    <row r="35" customFormat="false" ht="25.5" hidden="false" customHeight="true" outlineLevel="0" collapsed="false">
      <c r="A35" s="30"/>
      <c r="B35" s="30"/>
      <c r="C35" s="20" t="str">
        <f aca="false">IFERROR(INDEX(Clients!$B$5:$B$44,MATCH($B35,Clients!$A$5:$A$44,0)),"")</f>
        <v/>
      </c>
      <c r="D35" s="30"/>
      <c r="E35" s="31"/>
      <c r="F35" s="31"/>
      <c r="G35" s="20" t="str">
        <f aca="true">IF($A35="","",$F35-TODAY())</f>
        <v/>
      </c>
      <c r="H35" s="30"/>
      <c r="I35" s="30"/>
      <c r="J35" s="20" t="str">
        <f aca="false">IF($A35="","",_xlfn.IFS(OR($W35="Yes",$H35="Complete"),"Completed",$H35="On Hold","On Hold",$G35&lt;0,"Overdue",$O35="Client","Waiting on Client",$G35&lt;=7,"At Risk",TRUE(),"On Track"))</f>
        <v/>
      </c>
      <c r="K35" s="20" t="str">
        <f aca="false">IF($A35="","",IFERROR(_xlfn.MAXIFS('Iteration Tracker'!$D$5:$D$124,'Iteration Tracker'!$A$5:$A$124,$A35),0))</f>
        <v/>
      </c>
      <c r="L35" s="30"/>
      <c r="M35" s="20" t="str">
        <f aca="false">IF($A35="","",$L35-$K35)</f>
        <v/>
      </c>
      <c r="N35" s="31"/>
      <c r="O35" s="30"/>
      <c r="P35" s="34"/>
      <c r="Q35" s="31"/>
      <c r="R35" s="20" t="str">
        <f aca="true">IF($A35="","",IF($N35="","",TODAY()-$N35))</f>
        <v/>
      </c>
      <c r="S35" s="30"/>
      <c r="T35" s="30"/>
      <c r="U35" s="30"/>
      <c r="V35" s="30"/>
      <c r="W35" s="30"/>
      <c r="X35" s="34"/>
      <c r="Z35" s="3" t="n">
        <f aca="false">IF($A35="",0,IF(AND($G35&lt;0,$J35&lt;&gt;"Completed",$J35&lt;&gt;"On Hold"),1,0))</f>
        <v>0</v>
      </c>
      <c r="AA35" s="3" t="n">
        <f aca="false">IF($A35="",0,IF(AND($G35&gt;=0,$G35&lt;=7,$J35&lt;&gt;"Completed",$J35&lt;&gt;"On Hold"),1,0))</f>
        <v>0</v>
      </c>
      <c r="AB35" s="3" t="n">
        <f aca="false">IF($A35="",0,IF(AND($O35="Us",$J35&lt;&gt;"Completed"),1,0))</f>
        <v>0</v>
      </c>
      <c r="AC35" s="3" t="n">
        <f aca="false">IF($A35="",0,IF(AND($H35="Awaiting Feedback",$R35&lt;&gt;"",$R35&gt;7),1,0))</f>
        <v>0</v>
      </c>
      <c r="AD35" s="3" t="n">
        <f aca="false">IF($A35="",0,IF(AND($M35&lt;&gt;"",$M35&lt;=1,$J35&lt;&gt;"Completed"),1,0))</f>
        <v>0</v>
      </c>
      <c r="AE35" s="3" t="n">
        <f aca="false">IFERROR(IF(AND($A35&lt;&gt;"",INDEX('Project Financials'!$AC$5:$AC$64,MATCH($A35,'Project Financials'!$A$5:$A$64,0))&lt;0.2,INDEX('Project Financials'!$D$5:$D$64,MATCH($A35,'Project Financials'!$A$5:$A$64,0))&gt;0),1,0),0)</f>
        <v>0</v>
      </c>
      <c r="AF35" s="3" t="n">
        <f aca="false">IFERROR(IF(OR(INDEX(Payments!$N$5:$N$64,MATCH($A35,Payments!$B$5:$B$64,0))="Overdue",INDEX(Payments!$N$5:$N$64,MATCH($A35,Payments!$B$5:$B$64,0))="Awaiting Deposit"),1,0),0)</f>
        <v>0</v>
      </c>
      <c r="AG35" s="3" t="n">
        <f aca="false">IF($A35="",0,IF(SUM(Z35:AF35)&gt;0,1,0))</f>
        <v>0</v>
      </c>
      <c r="AH35" s="3" t="str">
        <f aca="false">IF($AG35=0,"",LEFT((IF($Z35=1,"Overdue; ",""))&amp;(IF($AA35=1,"Deadline ≤ 7 days; ",""))&amp;(IF($AB35=1,"Action needed from us; ",""))&amp;(IF($AC35=1,"Client feedback overdue; ",""))&amp;(IF($AD35=1,"At iteration limit; ",""))&amp;(IF($AE35=1,"Low margin; ",""))&amp;(IF($AF35=1,"Unpaid invoice; ","")),LEN((IF($Z35=1,"Overdue; ",""))&amp;(IF($AA35=1,"Deadline ≤ 7 days; ",""))&amp;(IF($AB35=1,"Action needed from us; ",""))&amp;(IF($AC35=1,"Client feedback overdue; ",""))&amp;(IF($AD35=1,"At iteration limit; ",""))&amp;(IF($AE35=1,"Low margin; ",""))&amp;(IF($AF35=1,"Unpaid invoice; ","")))-2))</f>
        <v/>
      </c>
      <c r="AI35" s="3" t="str">
        <f aca="false">IF(AND($A35&lt;&gt;"",$J35&lt;&gt;"Completed",$J35&lt;&gt;"On Hold"),$F35*1000+(ROW()-ROW($A$5)+1),"")</f>
        <v/>
      </c>
      <c r="AJ35" s="3" t="str">
        <f aca="false">IF($AG35=1,ROW()-ROW($A$5)+1,"")</f>
        <v/>
      </c>
      <c r="AK35" s="35"/>
    </row>
    <row r="36" customFormat="false" ht="25.5" hidden="false" customHeight="true" outlineLevel="0" collapsed="false">
      <c r="A36" s="30"/>
      <c r="B36" s="30"/>
      <c r="C36" s="20" t="str">
        <f aca="false">IFERROR(INDEX(Clients!$B$5:$B$44,MATCH($B36,Clients!$A$5:$A$44,0)),"")</f>
        <v/>
      </c>
      <c r="D36" s="30"/>
      <c r="E36" s="31"/>
      <c r="F36" s="31"/>
      <c r="G36" s="20" t="str">
        <f aca="true">IF($A36="","",$F36-TODAY())</f>
        <v/>
      </c>
      <c r="H36" s="30"/>
      <c r="I36" s="30"/>
      <c r="J36" s="20" t="str">
        <f aca="false">IF($A36="","",_xlfn.IFS(OR($W36="Yes",$H36="Complete"),"Completed",$H36="On Hold","On Hold",$G36&lt;0,"Overdue",$O36="Client","Waiting on Client",$G36&lt;=7,"At Risk",TRUE(),"On Track"))</f>
        <v/>
      </c>
      <c r="K36" s="20" t="str">
        <f aca="false">IF($A36="","",IFERROR(_xlfn.MAXIFS('Iteration Tracker'!$D$5:$D$124,'Iteration Tracker'!$A$5:$A$124,$A36),0))</f>
        <v/>
      </c>
      <c r="L36" s="30"/>
      <c r="M36" s="20" t="str">
        <f aca="false">IF($A36="","",$L36-$K36)</f>
        <v/>
      </c>
      <c r="N36" s="31"/>
      <c r="O36" s="30"/>
      <c r="P36" s="34"/>
      <c r="Q36" s="31"/>
      <c r="R36" s="20" t="str">
        <f aca="true">IF($A36="","",IF($N36="","",TODAY()-$N36))</f>
        <v/>
      </c>
      <c r="S36" s="30"/>
      <c r="T36" s="30"/>
      <c r="U36" s="30"/>
      <c r="V36" s="30"/>
      <c r="W36" s="30"/>
      <c r="X36" s="34"/>
      <c r="Z36" s="3" t="n">
        <f aca="false">IF($A36="",0,IF(AND($G36&lt;0,$J36&lt;&gt;"Completed",$J36&lt;&gt;"On Hold"),1,0))</f>
        <v>0</v>
      </c>
      <c r="AA36" s="3" t="n">
        <f aca="false">IF($A36="",0,IF(AND($G36&gt;=0,$G36&lt;=7,$J36&lt;&gt;"Completed",$J36&lt;&gt;"On Hold"),1,0))</f>
        <v>0</v>
      </c>
      <c r="AB36" s="3" t="n">
        <f aca="false">IF($A36="",0,IF(AND($O36="Us",$J36&lt;&gt;"Completed"),1,0))</f>
        <v>0</v>
      </c>
      <c r="AC36" s="3" t="n">
        <f aca="false">IF($A36="",0,IF(AND($H36="Awaiting Feedback",$R36&lt;&gt;"",$R36&gt;7),1,0))</f>
        <v>0</v>
      </c>
      <c r="AD36" s="3" t="n">
        <f aca="false">IF($A36="",0,IF(AND($M36&lt;&gt;"",$M36&lt;=1,$J36&lt;&gt;"Completed"),1,0))</f>
        <v>0</v>
      </c>
      <c r="AE36" s="3" t="n">
        <f aca="false">IFERROR(IF(AND($A36&lt;&gt;"",INDEX('Project Financials'!$AC$5:$AC$64,MATCH($A36,'Project Financials'!$A$5:$A$64,0))&lt;0.2,INDEX('Project Financials'!$D$5:$D$64,MATCH($A36,'Project Financials'!$A$5:$A$64,0))&gt;0),1,0),0)</f>
        <v>0</v>
      </c>
      <c r="AF36" s="3" t="n">
        <f aca="false">IFERROR(IF(OR(INDEX(Payments!$N$5:$N$64,MATCH($A36,Payments!$B$5:$B$64,0))="Overdue",INDEX(Payments!$N$5:$N$64,MATCH($A36,Payments!$B$5:$B$64,0))="Awaiting Deposit"),1,0),0)</f>
        <v>0</v>
      </c>
      <c r="AG36" s="3" t="n">
        <f aca="false">IF($A36="",0,IF(SUM(Z36:AF36)&gt;0,1,0))</f>
        <v>0</v>
      </c>
      <c r="AH36" s="3" t="str">
        <f aca="false">IF($AG36=0,"",LEFT((IF($Z36=1,"Overdue; ",""))&amp;(IF($AA36=1,"Deadline ≤ 7 days; ",""))&amp;(IF($AB36=1,"Action needed from us; ",""))&amp;(IF($AC36=1,"Client feedback overdue; ",""))&amp;(IF($AD36=1,"At iteration limit; ",""))&amp;(IF($AE36=1,"Low margin; ",""))&amp;(IF($AF36=1,"Unpaid invoice; ","")),LEN((IF($Z36=1,"Overdue; ",""))&amp;(IF($AA36=1,"Deadline ≤ 7 days; ",""))&amp;(IF($AB36=1,"Action needed from us; ",""))&amp;(IF($AC36=1,"Client feedback overdue; ",""))&amp;(IF($AD36=1,"At iteration limit; ",""))&amp;(IF($AE36=1,"Low margin; ",""))&amp;(IF($AF36=1,"Unpaid invoice; ","")))-2))</f>
        <v/>
      </c>
      <c r="AI36" s="3" t="str">
        <f aca="false">IF(AND($A36&lt;&gt;"",$J36&lt;&gt;"Completed",$J36&lt;&gt;"On Hold"),$F36*1000+(ROW()-ROW($A$5)+1),"")</f>
        <v/>
      </c>
      <c r="AJ36" s="3" t="str">
        <f aca="false">IF($AG36=1,ROW()-ROW($A$5)+1,"")</f>
        <v/>
      </c>
      <c r="AK36" s="35"/>
    </row>
    <row r="37" customFormat="false" ht="25.5" hidden="false" customHeight="true" outlineLevel="0" collapsed="false">
      <c r="A37" s="30"/>
      <c r="B37" s="30"/>
      <c r="C37" s="20" t="str">
        <f aca="false">IFERROR(INDEX(Clients!$B$5:$B$44,MATCH($B37,Clients!$A$5:$A$44,0)),"")</f>
        <v/>
      </c>
      <c r="D37" s="30"/>
      <c r="E37" s="31"/>
      <c r="F37" s="31"/>
      <c r="G37" s="20" t="str">
        <f aca="true">IF($A37="","",$F37-TODAY())</f>
        <v/>
      </c>
      <c r="H37" s="30"/>
      <c r="I37" s="30"/>
      <c r="J37" s="20" t="str">
        <f aca="false">IF($A37="","",_xlfn.IFS(OR($W37="Yes",$H37="Complete"),"Completed",$H37="On Hold","On Hold",$G37&lt;0,"Overdue",$O37="Client","Waiting on Client",$G37&lt;=7,"At Risk",TRUE(),"On Track"))</f>
        <v/>
      </c>
      <c r="K37" s="20" t="str">
        <f aca="false">IF($A37="","",IFERROR(_xlfn.MAXIFS('Iteration Tracker'!$D$5:$D$124,'Iteration Tracker'!$A$5:$A$124,$A37),0))</f>
        <v/>
      </c>
      <c r="L37" s="30"/>
      <c r="M37" s="20" t="str">
        <f aca="false">IF($A37="","",$L37-$K37)</f>
        <v/>
      </c>
      <c r="N37" s="31"/>
      <c r="O37" s="30"/>
      <c r="P37" s="34"/>
      <c r="Q37" s="31"/>
      <c r="R37" s="20" t="str">
        <f aca="true">IF($A37="","",IF($N37="","",TODAY()-$N37))</f>
        <v/>
      </c>
      <c r="S37" s="30"/>
      <c r="T37" s="30"/>
      <c r="U37" s="30"/>
      <c r="V37" s="30"/>
      <c r="W37" s="30"/>
      <c r="X37" s="34"/>
      <c r="Z37" s="3" t="n">
        <f aca="false">IF($A37="",0,IF(AND($G37&lt;0,$J37&lt;&gt;"Completed",$J37&lt;&gt;"On Hold"),1,0))</f>
        <v>0</v>
      </c>
      <c r="AA37" s="3" t="n">
        <f aca="false">IF($A37="",0,IF(AND($G37&gt;=0,$G37&lt;=7,$J37&lt;&gt;"Completed",$J37&lt;&gt;"On Hold"),1,0))</f>
        <v>0</v>
      </c>
      <c r="AB37" s="3" t="n">
        <f aca="false">IF($A37="",0,IF(AND($O37="Us",$J37&lt;&gt;"Completed"),1,0))</f>
        <v>0</v>
      </c>
      <c r="AC37" s="3" t="n">
        <f aca="false">IF($A37="",0,IF(AND($H37="Awaiting Feedback",$R37&lt;&gt;"",$R37&gt;7),1,0))</f>
        <v>0</v>
      </c>
      <c r="AD37" s="3" t="n">
        <f aca="false">IF($A37="",0,IF(AND($M37&lt;&gt;"",$M37&lt;=1,$J37&lt;&gt;"Completed"),1,0))</f>
        <v>0</v>
      </c>
      <c r="AE37" s="3" t="n">
        <f aca="false">IFERROR(IF(AND($A37&lt;&gt;"",INDEX('Project Financials'!$AC$5:$AC$64,MATCH($A37,'Project Financials'!$A$5:$A$64,0))&lt;0.2,INDEX('Project Financials'!$D$5:$D$64,MATCH($A37,'Project Financials'!$A$5:$A$64,0))&gt;0),1,0),0)</f>
        <v>0</v>
      </c>
      <c r="AF37" s="3" t="n">
        <f aca="false">IFERROR(IF(OR(INDEX(Payments!$N$5:$N$64,MATCH($A37,Payments!$B$5:$B$64,0))="Overdue",INDEX(Payments!$N$5:$N$64,MATCH($A37,Payments!$B$5:$B$64,0))="Awaiting Deposit"),1,0),0)</f>
        <v>0</v>
      </c>
      <c r="AG37" s="3" t="n">
        <f aca="false">IF($A37="",0,IF(SUM(Z37:AF37)&gt;0,1,0))</f>
        <v>0</v>
      </c>
      <c r="AH37" s="3" t="str">
        <f aca="false">IF($AG37=0,"",LEFT((IF($Z37=1,"Overdue; ",""))&amp;(IF($AA37=1,"Deadline ≤ 7 days; ",""))&amp;(IF($AB37=1,"Action needed from us; ",""))&amp;(IF($AC37=1,"Client feedback overdue; ",""))&amp;(IF($AD37=1,"At iteration limit; ",""))&amp;(IF($AE37=1,"Low margin; ",""))&amp;(IF($AF37=1,"Unpaid invoice; ","")),LEN((IF($Z37=1,"Overdue; ",""))&amp;(IF($AA37=1,"Deadline ≤ 7 days; ",""))&amp;(IF($AB37=1,"Action needed from us; ",""))&amp;(IF($AC37=1,"Client feedback overdue; ",""))&amp;(IF($AD37=1,"At iteration limit; ",""))&amp;(IF($AE37=1,"Low margin; ",""))&amp;(IF($AF37=1,"Unpaid invoice; ","")))-2))</f>
        <v/>
      </c>
      <c r="AI37" s="3" t="str">
        <f aca="false">IF(AND($A37&lt;&gt;"",$J37&lt;&gt;"Completed",$J37&lt;&gt;"On Hold"),$F37*1000+(ROW()-ROW($A$5)+1),"")</f>
        <v/>
      </c>
      <c r="AJ37" s="3" t="str">
        <f aca="false">IF($AG37=1,ROW()-ROW($A$5)+1,"")</f>
        <v/>
      </c>
      <c r="AK37" s="35"/>
    </row>
    <row r="38" customFormat="false" ht="25.5" hidden="false" customHeight="true" outlineLevel="0" collapsed="false">
      <c r="A38" s="30"/>
      <c r="B38" s="30"/>
      <c r="C38" s="20" t="str">
        <f aca="false">IFERROR(INDEX(Clients!$B$5:$B$44,MATCH($B38,Clients!$A$5:$A$44,0)),"")</f>
        <v/>
      </c>
      <c r="D38" s="30"/>
      <c r="E38" s="31"/>
      <c r="F38" s="31"/>
      <c r="G38" s="20" t="str">
        <f aca="true">IF($A38="","",$F38-TODAY())</f>
        <v/>
      </c>
      <c r="H38" s="30"/>
      <c r="I38" s="30"/>
      <c r="J38" s="20" t="str">
        <f aca="false">IF($A38="","",_xlfn.IFS(OR($W38="Yes",$H38="Complete"),"Completed",$H38="On Hold","On Hold",$G38&lt;0,"Overdue",$O38="Client","Waiting on Client",$G38&lt;=7,"At Risk",TRUE(),"On Track"))</f>
        <v/>
      </c>
      <c r="K38" s="20" t="str">
        <f aca="false">IF($A38="","",IFERROR(_xlfn.MAXIFS('Iteration Tracker'!$D$5:$D$124,'Iteration Tracker'!$A$5:$A$124,$A38),0))</f>
        <v/>
      </c>
      <c r="L38" s="30"/>
      <c r="M38" s="20" t="str">
        <f aca="false">IF($A38="","",$L38-$K38)</f>
        <v/>
      </c>
      <c r="N38" s="31"/>
      <c r="O38" s="30"/>
      <c r="P38" s="34"/>
      <c r="Q38" s="31"/>
      <c r="R38" s="20" t="str">
        <f aca="true">IF($A38="","",IF($N38="","",TODAY()-$N38))</f>
        <v/>
      </c>
      <c r="S38" s="30"/>
      <c r="T38" s="30"/>
      <c r="U38" s="30"/>
      <c r="V38" s="30"/>
      <c r="W38" s="30"/>
      <c r="X38" s="34"/>
      <c r="Z38" s="3" t="n">
        <f aca="false">IF($A38="",0,IF(AND($G38&lt;0,$J38&lt;&gt;"Completed",$J38&lt;&gt;"On Hold"),1,0))</f>
        <v>0</v>
      </c>
      <c r="AA38" s="3" t="n">
        <f aca="false">IF($A38="",0,IF(AND($G38&gt;=0,$G38&lt;=7,$J38&lt;&gt;"Completed",$J38&lt;&gt;"On Hold"),1,0))</f>
        <v>0</v>
      </c>
      <c r="AB38" s="3" t="n">
        <f aca="false">IF($A38="",0,IF(AND($O38="Us",$J38&lt;&gt;"Completed"),1,0))</f>
        <v>0</v>
      </c>
      <c r="AC38" s="3" t="n">
        <f aca="false">IF($A38="",0,IF(AND($H38="Awaiting Feedback",$R38&lt;&gt;"",$R38&gt;7),1,0))</f>
        <v>0</v>
      </c>
      <c r="AD38" s="3" t="n">
        <f aca="false">IF($A38="",0,IF(AND($M38&lt;&gt;"",$M38&lt;=1,$J38&lt;&gt;"Completed"),1,0))</f>
        <v>0</v>
      </c>
      <c r="AE38" s="3" t="n">
        <f aca="false">IFERROR(IF(AND($A38&lt;&gt;"",INDEX('Project Financials'!$AC$5:$AC$64,MATCH($A38,'Project Financials'!$A$5:$A$64,0))&lt;0.2,INDEX('Project Financials'!$D$5:$D$64,MATCH($A38,'Project Financials'!$A$5:$A$64,0))&gt;0),1,0),0)</f>
        <v>0</v>
      </c>
      <c r="AF38" s="3" t="n">
        <f aca="false">IFERROR(IF(OR(INDEX(Payments!$N$5:$N$64,MATCH($A38,Payments!$B$5:$B$64,0))="Overdue",INDEX(Payments!$N$5:$N$64,MATCH($A38,Payments!$B$5:$B$64,0))="Awaiting Deposit"),1,0),0)</f>
        <v>0</v>
      </c>
      <c r="AG38" s="3" t="n">
        <f aca="false">IF($A38="",0,IF(SUM(Z38:AF38)&gt;0,1,0))</f>
        <v>0</v>
      </c>
      <c r="AH38" s="3" t="str">
        <f aca="false">IF($AG38=0,"",LEFT((IF($Z38=1,"Overdue; ",""))&amp;(IF($AA38=1,"Deadline ≤ 7 days; ",""))&amp;(IF($AB38=1,"Action needed from us; ",""))&amp;(IF($AC38=1,"Client feedback overdue; ",""))&amp;(IF($AD38=1,"At iteration limit; ",""))&amp;(IF($AE38=1,"Low margin; ",""))&amp;(IF($AF38=1,"Unpaid invoice; ","")),LEN((IF($Z38=1,"Overdue; ",""))&amp;(IF($AA38=1,"Deadline ≤ 7 days; ",""))&amp;(IF($AB38=1,"Action needed from us; ",""))&amp;(IF($AC38=1,"Client feedback overdue; ",""))&amp;(IF($AD38=1,"At iteration limit; ",""))&amp;(IF($AE38=1,"Low margin; ",""))&amp;(IF($AF38=1,"Unpaid invoice; ","")))-2))</f>
        <v/>
      </c>
      <c r="AI38" s="3" t="str">
        <f aca="false">IF(AND($A38&lt;&gt;"",$J38&lt;&gt;"Completed",$J38&lt;&gt;"On Hold"),$F38*1000+(ROW()-ROW($A$5)+1),"")</f>
        <v/>
      </c>
      <c r="AJ38" s="3" t="str">
        <f aca="false">IF($AG38=1,ROW()-ROW($A$5)+1,"")</f>
        <v/>
      </c>
      <c r="AK38" s="35"/>
    </row>
    <row r="39" customFormat="false" ht="25.5" hidden="false" customHeight="true" outlineLevel="0" collapsed="false">
      <c r="A39" s="30"/>
      <c r="B39" s="30"/>
      <c r="C39" s="20" t="str">
        <f aca="false">IFERROR(INDEX(Clients!$B$5:$B$44,MATCH($B39,Clients!$A$5:$A$44,0)),"")</f>
        <v/>
      </c>
      <c r="D39" s="30"/>
      <c r="E39" s="31"/>
      <c r="F39" s="31"/>
      <c r="G39" s="20" t="str">
        <f aca="true">IF($A39="","",$F39-TODAY())</f>
        <v/>
      </c>
      <c r="H39" s="30"/>
      <c r="I39" s="30"/>
      <c r="J39" s="20" t="str">
        <f aca="false">IF($A39="","",_xlfn.IFS(OR($W39="Yes",$H39="Complete"),"Completed",$H39="On Hold","On Hold",$G39&lt;0,"Overdue",$O39="Client","Waiting on Client",$G39&lt;=7,"At Risk",TRUE(),"On Track"))</f>
        <v/>
      </c>
      <c r="K39" s="20" t="str">
        <f aca="false">IF($A39="","",IFERROR(_xlfn.MAXIFS('Iteration Tracker'!$D$5:$D$124,'Iteration Tracker'!$A$5:$A$124,$A39),0))</f>
        <v/>
      </c>
      <c r="L39" s="30"/>
      <c r="M39" s="20" t="str">
        <f aca="false">IF($A39="","",$L39-$K39)</f>
        <v/>
      </c>
      <c r="N39" s="31"/>
      <c r="O39" s="30"/>
      <c r="P39" s="34"/>
      <c r="Q39" s="31"/>
      <c r="R39" s="20" t="str">
        <f aca="true">IF($A39="","",IF($N39="","",TODAY()-$N39))</f>
        <v/>
      </c>
      <c r="S39" s="30"/>
      <c r="T39" s="30"/>
      <c r="U39" s="30"/>
      <c r="V39" s="30"/>
      <c r="W39" s="30"/>
      <c r="X39" s="34"/>
      <c r="Z39" s="3" t="n">
        <f aca="false">IF($A39="",0,IF(AND($G39&lt;0,$J39&lt;&gt;"Completed",$J39&lt;&gt;"On Hold"),1,0))</f>
        <v>0</v>
      </c>
      <c r="AA39" s="3" t="n">
        <f aca="false">IF($A39="",0,IF(AND($G39&gt;=0,$G39&lt;=7,$J39&lt;&gt;"Completed",$J39&lt;&gt;"On Hold"),1,0))</f>
        <v>0</v>
      </c>
      <c r="AB39" s="3" t="n">
        <f aca="false">IF($A39="",0,IF(AND($O39="Us",$J39&lt;&gt;"Completed"),1,0))</f>
        <v>0</v>
      </c>
      <c r="AC39" s="3" t="n">
        <f aca="false">IF($A39="",0,IF(AND($H39="Awaiting Feedback",$R39&lt;&gt;"",$R39&gt;7),1,0))</f>
        <v>0</v>
      </c>
      <c r="AD39" s="3" t="n">
        <f aca="false">IF($A39="",0,IF(AND($M39&lt;&gt;"",$M39&lt;=1,$J39&lt;&gt;"Completed"),1,0))</f>
        <v>0</v>
      </c>
      <c r="AE39" s="3" t="n">
        <f aca="false">IFERROR(IF(AND($A39&lt;&gt;"",INDEX('Project Financials'!$AC$5:$AC$64,MATCH($A39,'Project Financials'!$A$5:$A$64,0))&lt;0.2,INDEX('Project Financials'!$D$5:$D$64,MATCH($A39,'Project Financials'!$A$5:$A$64,0))&gt;0),1,0),0)</f>
        <v>0</v>
      </c>
      <c r="AF39" s="3" t="n">
        <f aca="false">IFERROR(IF(OR(INDEX(Payments!$N$5:$N$64,MATCH($A39,Payments!$B$5:$B$64,0))="Overdue",INDEX(Payments!$N$5:$N$64,MATCH($A39,Payments!$B$5:$B$64,0))="Awaiting Deposit"),1,0),0)</f>
        <v>0</v>
      </c>
      <c r="AG39" s="3" t="n">
        <f aca="false">IF($A39="",0,IF(SUM(Z39:AF39)&gt;0,1,0))</f>
        <v>0</v>
      </c>
      <c r="AH39" s="3" t="str">
        <f aca="false">IF($AG39=0,"",LEFT((IF($Z39=1,"Overdue; ",""))&amp;(IF($AA39=1,"Deadline ≤ 7 days; ",""))&amp;(IF($AB39=1,"Action needed from us; ",""))&amp;(IF($AC39=1,"Client feedback overdue; ",""))&amp;(IF($AD39=1,"At iteration limit; ",""))&amp;(IF($AE39=1,"Low margin; ",""))&amp;(IF($AF39=1,"Unpaid invoice; ","")),LEN((IF($Z39=1,"Overdue; ",""))&amp;(IF($AA39=1,"Deadline ≤ 7 days; ",""))&amp;(IF($AB39=1,"Action needed from us; ",""))&amp;(IF($AC39=1,"Client feedback overdue; ",""))&amp;(IF($AD39=1,"At iteration limit; ",""))&amp;(IF($AE39=1,"Low margin; ",""))&amp;(IF($AF39=1,"Unpaid invoice; ","")))-2))</f>
        <v/>
      </c>
      <c r="AI39" s="3" t="str">
        <f aca="false">IF(AND($A39&lt;&gt;"",$J39&lt;&gt;"Completed",$J39&lt;&gt;"On Hold"),$F39*1000+(ROW()-ROW($A$5)+1),"")</f>
        <v/>
      </c>
      <c r="AJ39" s="3" t="str">
        <f aca="false">IF($AG39=1,ROW()-ROW($A$5)+1,"")</f>
        <v/>
      </c>
      <c r="AK39" s="35"/>
    </row>
    <row r="40" customFormat="false" ht="25.5" hidden="false" customHeight="true" outlineLevel="0" collapsed="false">
      <c r="A40" s="30"/>
      <c r="B40" s="30"/>
      <c r="C40" s="20" t="str">
        <f aca="false">IFERROR(INDEX(Clients!$B$5:$B$44,MATCH($B40,Clients!$A$5:$A$44,0)),"")</f>
        <v/>
      </c>
      <c r="D40" s="30"/>
      <c r="E40" s="31"/>
      <c r="F40" s="31"/>
      <c r="G40" s="20" t="str">
        <f aca="true">IF($A40="","",$F40-TODAY())</f>
        <v/>
      </c>
      <c r="H40" s="30"/>
      <c r="I40" s="30"/>
      <c r="J40" s="20" t="str">
        <f aca="false">IF($A40="","",_xlfn.IFS(OR($W40="Yes",$H40="Complete"),"Completed",$H40="On Hold","On Hold",$G40&lt;0,"Overdue",$O40="Client","Waiting on Client",$G40&lt;=7,"At Risk",TRUE(),"On Track"))</f>
        <v/>
      </c>
      <c r="K40" s="20" t="str">
        <f aca="false">IF($A40="","",IFERROR(_xlfn.MAXIFS('Iteration Tracker'!$D$5:$D$124,'Iteration Tracker'!$A$5:$A$124,$A40),0))</f>
        <v/>
      </c>
      <c r="L40" s="30"/>
      <c r="M40" s="20" t="str">
        <f aca="false">IF($A40="","",$L40-$K40)</f>
        <v/>
      </c>
      <c r="N40" s="31"/>
      <c r="O40" s="30"/>
      <c r="P40" s="34"/>
      <c r="Q40" s="31"/>
      <c r="R40" s="20" t="str">
        <f aca="true">IF($A40="","",IF($N40="","",TODAY()-$N40))</f>
        <v/>
      </c>
      <c r="S40" s="30"/>
      <c r="T40" s="30"/>
      <c r="U40" s="30"/>
      <c r="V40" s="30"/>
      <c r="W40" s="30"/>
      <c r="X40" s="34"/>
      <c r="Z40" s="3" t="n">
        <f aca="false">IF($A40="",0,IF(AND($G40&lt;0,$J40&lt;&gt;"Completed",$J40&lt;&gt;"On Hold"),1,0))</f>
        <v>0</v>
      </c>
      <c r="AA40" s="3" t="n">
        <f aca="false">IF($A40="",0,IF(AND($G40&gt;=0,$G40&lt;=7,$J40&lt;&gt;"Completed",$J40&lt;&gt;"On Hold"),1,0))</f>
        <v>0</v>
      </c>
      <c r="AB40" s="3" t="n">
        <f aca="false">IF($A40="",0,IF(AND($O40="Us",$J40&lt;&gt;"Completed"),1,0))</f>
        <v>0</v>
      </c>
      <c r="AC40" s="3" t="n">
        <f aca="false">IF($A40="",0,IF(AND($H40="Awaiting Feedback",$R40&lt;&gt;"",$R40&gt;7),1,0))</f>
        <v>0</v>
      </c>
      <c r="AD40" s="3" t="n">
        <f aca="false">IF($A40="",0,IF(AND($M40&lt;&gt;"",$M40&lt;=1,$J40&lt;&gt;"Completed"),1,0))</f>
        <v>0</v>
      </c>
      <c r="AE40" s="3" t="n">
        <f aca="false">IFERROR(IF(AND($A40&lt;&gt;"",INDEX('Project Financials'!$AC$5:$AC$64,MATCH($A40,'Project Financials'!$A$5:$A$64,0))&lt;0.2,INDEX('Project Financials'!$D$5:$D$64,MATCH($A40,'Project Financials'!$A$5:$A$64,0))&gt;0),1,0),0)</f>
        <v>0</v>
      </c>
      <c r="AF40" s="3" t="n">
        <f aca="false">IFERROR(IF(OR(INDEX(Payments!$N$5:$N$64,MATCH($A40,Payments!$B$5:$B$64,0))="Overdue",INDEX(Payments!$N$5:$N$64,MATCH($A40,Payments!$B$5:$B$64,0))="Awaiting Deposit"),1,0),0)</f>
        <v>0</v>
      </c>
      <c r="AG40" s="3" t="n">
        <f aca="false">IF($A40="",0,IF(SUM(Z40:AF40)&gt;0,1,0))</f>
        <v>0</v>
      </c>
      <c r="AH40" s="3" t="str">
        <f aca="false">IF($AG40=0,"",LEFT((IF($Z40=1,"Overdue; ",""))&amp;(IF($AA40=1,"Deadline ≤ 7 days; ",""))&amp;(IF($AB40=1,"Action needed from us; ",""))&amp;(IF($AC40=1,"Client feedback overdue; ",""))&amp;(IF($AD40=1,"At iteration limit; ",""))&amp;(IF($AE40=1,"Low margin; ",""))&amp;(IF($AF40=1,"Unpaid invoice; ","")),LEN((IF($Z40=1,"Overdue; ",""))&amp;(IF($AA40=1,"Deadline ≤ 7 days; ",""))&amp;(IF($AB40=1,"Action needed from us; ",""))&amp;(IF($AC40=1,"Client feedback overdue; ",""))&amp;(IF($AD40=1,"At iteration limit; ",""))&amp;(IF($AE40=1,"Low margin; ",""))&amp;(IF($AF40=1,"Unpaid invoice; ","")))-2))</f>
        <v/>
      </c>
      <c r="AI40" s="3" t="str">
        <f aca="false">IF(AND($A40&lt;&gt;"",$J40&lt;&gt;"Completed",$J40&lt;&gt;"On Hold"),$F40*1000+(ROW()-ROW($A$5)+1),"")</f>
        <v/>
      </c>
      <c r="AJ40" s="3" t="str">
        <f aca="false">IF($AG40=1,ROW()-ROW($A$5)+1,"")</f>
        <v/>
      </c>
      <c r="AK40" s="35"/>
    </row>
    <row r="41" customFormat="false" ht="25.5" hidden="false" customHeight="true" outlineLevel="0" collapsed="false">
      <c r="A41" s="30"/>
      <c r="B41" s="30"/>
      <c r="C41" s="20" t="str">
        <f aca="false">IFERROR(INDEX(Clients!$B$5:$B$44,MATCH($B41,Clients!$A$5:$A$44,0)),"")</f>
        <v/>
      </c>
      <c r="D41" s="30"/>
      <c r="E41" s="31"/>
      <c r="F41" s="31"/>
      <c r="G41" s="20" t="str">
        <f aca="true">IF($A41="","",$F41-TODAY())</f>
        <v/>
      </c>
      <c r="H41" s="30"/>
      <c r="I41" s="30"/>
      <c r="J41" s="20" t="str">
        <f aca="false">IF($A41="","",_xlfn.IFS(OR($W41="Yes",$H41="Complete"),"Completed",$H41="On Hold","On Hold",$G41&lt;0,"Overdue",$O41="Client","Waiting on Client",$G41&lt;=7,"At Risk",TRUE(),"On Track"))</f>
        <v/>
      </c>
      <c r="K41" s="20" t="str">
        <f aca="false">IF($A41="","",IFERROR(_xlfn.MAXIFS('Iteration Tracker'!$D$5:$D$124,'Iteration Tracker'!$A$5:$A$124,$A41),0))</f>
        <v/>
      </c>
      <c r="L41" s="30"/>
      <c r="M41" s="20" t="str">
        <f aca="false">IF($A41="","",$L41-$K41)</f>
        <v/>
      </c>
      <c r="N41" s="31"/>
      <c r="O41" s="30"/>
      <c r="P41" s="34"/>
      <c r="Q41" s="31"/>
      <c r="R41" s="20" t="str">
        <f aca="true">IF($A41="","",IF($N41="","",TODAY()-$N41))</f>
        <v/>
      </c>
      <c r="S41" s="30"/>
      <c r="T41" s="30"/>
      <c r="U41" s="30"/>
      <c r="V41" s="30"/>
      <c r="W41" s="30"/>
      <c r="X41" s="34"/>
      <c r="Z41" s="3" t="n">
        <f aca="false">IF($A41="",0,IF(AND($G41&lt;0,$J41&lt;&gt;"Completed",$J41&lt;&gt;"On Hold"),1,0))</f>
        <v>0</v>
      </c>
      <c r="AA41" s="3" t="n">
        <f aca="false">IF($A41="",0,IF(AND($G41&gt;=0,$G41&lt;=7,$J41&lt;&gt;"Completed",$J41&lt;&gt;"On Hold"),1,0))</f>
        <v>0</v>
      </c>
      <c r="AB41" s="3" t="n">
        <f aca="false">IF($A41="",0,IF(AND($O41="Us",$J41&lt;&gt;"Completed"),1,0))</f>
        <v>0</v>
      </c>
      <c r="AC41" s="3" t="n">
        <f aca="false">IF($A41="",0,IF(AND($H41="Awaiting Feedback",$R41&lt;&gt;"",$R41&gt;7),1,0))</f>
        <v>0</v>
      </c>
      <c r="AD41" s="3" t="n">
        <f aca="false">IF($A41="",0,IF(AND($M41&lt;&gt;"",$M41&lt;=1,$J41&lt;&gt;"Completed"),1,0))</f>
        <v>0</v>
      </c>
      <c r="AE41" s="3" t="n">
        <f aca="false">IFERROR(IF(AND($A41&lt;&gt;"",INDEX('Project Financials'!$AC$5:$AC$64,MATCH($A41,'Project Financials'!$A$5:$A$64,0))&lt;0.2,INDEX('Project Financials'!$D$5:$D$64,MATCH($A41,'Project Financials'!$A$5:$A$64,0))&gt;0),1,0),0)</f>
        <v>0</v>
      </c>
      <c r="AF41" s="3" t="n">
        <f aca="false">IFERROR(IF(OR(INDEX(Payments!$N$5:$N$64,MATCH($A41,Payments!$B$5:$B$64,0))="Overdue",INDEX(Payments!$N$5:$N$64,MATCH($A41,Payments!$B$5:$B$64,0))="Awaiting Deposit"),1,0),0)</f>
        <v>0</v>
      </c>
      <c r="AG41" s="3" t="n">
        <f aca="false">IF($A41="",0,IF(SUM(Z41:AF41)&gt;0,1,0))</f>
        <v>0</v>
      </c>
      <c r="AH41" s="3" t="str">
        <f aca="false">IF($AG41=0,"",LEFT((IF($Z41=1,"Overdue; ",""))&amp;(IF($AA41=1,"Deadline ≤ 7 days; ",""))&amp;(IF($AB41=1,"Action needed from us; ",""))&amp;(IF($AC41=1,"Client feedback overdue; ",""))&amp;(IF($AD41=1,"At iteration limit; ",""))&amp;(IF($AE41=1,"Low margin; ",""))&amp;(IF($AF41=1,"Unpaid invoice; ","")),LEN((IF($Z41=1,"Overdue; ",""))&amp;(IF($AA41=1,"Deadline ≤ 7 days; ",""))&amp;(IF($AB41=1,"Action needed from us; ",""))&amp;(IF($AC41=1,"Client feedback overdue; ",""))&amp;(IF($AD41=1,"At iteration limit; ",""))&amp;(IF($AE41=1,"Low margin; ",""))&amp;(IF($AF41=1,"Unpaid invoice; ","")))-2))</f>
        <v/>
      </c>
      <c r="AI41" s="3" t="str">
        <f aca="false">IF(AND($A41&lt;&gt;"",$J41&lt;&gt;"Completed",$J41&lt;&gt;"On Hold"),$F41*1000+(ROW()-ROW($A$5)+1),"")</f>
        <v/>
      </c>
      <c r="AJ41" s="3" t="str">
        <f aca="false">IF($AG41=1,ROW()-ROW($A$5)+1,"")</f>
        <v/>
      </c>
      <c r="AK41" s="35"/>
    </row>
    <row r="42" customFormat="false" ht="25.5" hidden="false" customHeight="true" outlineLevel="0" collapsed="false">
      <c r="A42" s="30"/>
      <c r="B42" s="30"/>
      <c r="C42" s="20" t="str">
        <f aca="false">IFERROR(INDEX(Clients!$B$5:$B$44,MATCH($B42,Clients!$A$5:$A$44,0)),"")</f>
        <v/>
      </c>
      <c r="D42" s="30"/>
      <c r="E42" s="31"/>
      <c r="F42" s="31"/>
      <c r="G42" s="20" t="str">
        <f aca="true">IF($A42="","",$F42-TODAY())</f>
        <v/>
      </c>
      <c r="H42" s="30"/>
      <c r="I42" s="30"/>
      <c r="J42" s="20" t="str">
        <f aca="false">IF($A42="","",_xlfn.IFS(OR($W42="Yes",$H42="Complete"),"Completed",$H42="On Hold","On Hold",$G42&lt;0,"Overdue",$O42="Client","Waiting on Client",$G42&lt;=7,"At Risk",TRUE(),"On Track"))</f>
        <v/>
      </c>
      <c r="K42" s="20" t="str">
        <f aca="false">IF($A42="","",IFERROR(_xlfn.MAXIFS('Iteration Tracker'!$D$5:$D$124,'Iteration Tracker'!$A$5:$A$124,$A42),0))</f>
        <v/>
      </c>
      <c r="L42" s="30"/>
      <c r="M42" s="20" t="str">
        <f aca="false">IF($A42="","",$L42-$K42)</f>
        <v/>
      </c>
      <c r="N42" s="31"/>
      <c r="O42" s="30"/>
      <c r="P42" s="34"/>
      <c r="Q42" s="31"/>
      <c r="R42" s="20" t="str">
        <f aca="true">IF($A42="","",IF($N42="","",TODAY()-$N42))</f>
        <v/>
      </c>
      <c r="S42" s="30"/>
      <c r="T42" s="30"/>
      <c r="U42" s="30"/>
      <c r="V42" s="30"/>
      <c r="W42" s="30"/>
      <c r="X42" s="34"/>
      <c r="Z42" s="3" t="n">
        <f aca="false">IF($A42="",0,IF(AND($G42&lt;0,$J42&lt;&gt;"Completed",$J42&lt;&gt;"On Hold"),1,0))</f>
        <v>0</v>
      </c>
      <c r="AA42" s="3" t="n">
        <f aca="false">IF($A42="",0,IF(AND($G42&gt;=0,$G42&lt;=7,$J42&lt;&gt;"Completed",$J42&lt;&gt;"On Hold"),1,0))</f>
        <v>0</v>
      </c>
      <c r="AB42" s="3" t="n">
        <f aca="false">IF($A42="",0,IF(AND($O42="Us",$J42&lt;&gt;"Completed"),1,0))</f>
        <v>0</v>
      </c>
      <c r="AC42" s="3" t="n">
        <f aca="false">IF($A42="",0,IF(AND($H42="Awaiting Feedback",$R42&lt;&gt;"",$R42&gt;7),1,0))</f>
        <v>0</v>
      </c>
      <c r="AD42" s="3" t="n">
        <f aca="false">IF($A42="",0,IF(AND($M42&lt;&gt;"",$M42&lt;=1,$J42&lt;&gt;"Completed"),1,0))</f>
        <v>0</v>
      </c>
      <c r="AE42" s="3" t="n">
        <f aca="false">IFERROR(IF(AND($A42&lt;&gt;"",INDEX('Project Financials'!$AC$5:$AC$64,MATCH($A42,'Project Financials'!$A$5:$A$64,0))&lt;0.2,INDEX('Project Financials'!$D$5:$D$64,MATCH($A42,'Project Financials'!$A$5:$A$64,0))&gt;0),1,0),0)</f>
        <v>0</v>
      </c>
      <c r="AF42" s="3" t="n">
        <f aca="false">IFERROR(IF(OR(INDEX(Payments!$N$5:$N$64,MATCH($A42,Payments!$B$5:$B$64,0))="Overdue",INDEX(Payments!$N$5:$N$64,MATCH($A42,Payments!$B$5:$B$64,0))="Awaiting Deposit"),1,0),0)</f>
        <v>0</v>
      </c>
      <c r="AG42" s="3" t="n">
        <f aca="false">IF($A42="",0,IF(SUM(Z42:AF42)&gt;0,1,0))</f>
        <v>0</v>
      </c>
      <c r="AH42" s="3" t="str">
        <f aca="false">IF($AG42=0,"",LEFT((IF($Z42=1,"Overdue; ",""))&amp;(IF($AA42=1,"Deadline ≤ 7 days; ",""))&amp;(IF($AB42=1,"Action needed from us; ",""))&amp;(IF($AC42=1,"Client feedback overdue; ",""))&amp;(IF($AD42=1,"At iteration limit; ",""))&amp;(IF($AE42=1,"Low margin; ",""))&amp;(IF($AF42=1,"Unpaid invoice; ","")),LEN((IF($Z42=1,"Overdue; ",""))&amp;(IF($AA42=1,"Deadline ≤ 7 days; ",""))&amp;(IF($AB42=1,"Action needed from us; ",""))&amp;(IF($AC42=1,"Client feedback overdue; ",""))&amp;(IF($AD42=1,"At iteration limit; ",""))&amp;(IF($AE42=1,"Low margin; ",""))&amp;(IF($AF42=1,"Unpaid invoice; ","")))-2))</f>
        <v/>
      </c>
      <c r="AI42" s="3" t="str">
        <f aca="false">IF(AND($A42&lt;&gt;"",$J42&lt;&gt;"Completed",$J42&lt;&gt;"On Hold"),$F42*1000+(ROW()-ROW($A$5)+1),"")</f>
        <v/>
      </c>
      <c r="AJ42" s="3" t="str">
        <f aca="false">IF($AG42=1,ROW()-ROW($A$5)+1,"")</f>
        <v/>
      </c>
      <c r="AK42" s="35"/>
    </row>
    <row r="43" customFormat="false" ht="25.5" hidden="false" customHeight="true" outlineLevel="0" collapsed="false">
      <c r="A43" s="30"/>
      <c r="B43" s="30"/>
      <c r="C43" s="20" t="str">
        <f aca="false">IFERROR(INDEX(Clients!$B$5:$B$44,MATCH($B43,Clients!$A$5:$A$44,0)),"")</f>
        <v/>
      </c>
      <c r="D43" s="30"/>
      <c r="E43" s="31"/>
      <c r="F43" s="31"/>
      <c r="G43" s="20" t="str">
        <f aca="true">IF($A43="","",$F43-TODAY())</f>
        <v/>
      </c>
      <c r="H43" s="30"/>
      <c r="I43" s="30"/>
      <c r="J43" s="20" t="str">
        <f aca="false">IF($A43="","",_xlfn.IFS(OR($W43="Yes",$H43="Complete"),"Completed",$H43="On Hold","On Hold",$G43&lt;0,"Overdue",$O43="Client","Waiting on Client",$G43&lt;=7,"At Risk",TRUE(),"On Track"))</f>
        <v/>
      </c>
      <c r="K43" s="20" t="str">
        <f aca="false">IF($A43="","",IFERROR(_xlfn.MAXIFS('Iteration Tracker'!$D$5:$D$124,'Iteration Tracker'!$A$5:$A$124,$A43),0))</f>
        <v/>
      </c>
      <c r="L43" s="30"/>
      <c r="M43" s="20" t="str">
        <f aca="false">IF($A43="","",$L43-$K43)</f>
        <v/>
      </c>
      <c r="N43" s="31"/>
      <c r="O43" s="30"/>
      <c r="P43" s="34"/>
      <c r="Q43" s="31"/>
      <c r="R43" s="20" t="str">
        <f aca="true">IF($A43="","",IF($N43="","",TODAY()-$N43))</f>
        <v/>
      </c>
      <c r="S43" s="30"/>
      <c r="T43" s="30"/>
      <c r="U43" s="30"/>
      <c r="V43" s="30"/>
      <c r="W43" s="30"/>
      <c r="X43" s="34"/>
      <c r="Z43" s="3" t="n">
        <f aca="false">IF($A43="",0,IF(AND($G43&lt;0,$J43&lt;&gt;"Completed",$J43&lt;&gt;"On Hold"),1,0))</f>
        <v>0</v>
      </c>
      <c r="AA43" s="3" t="n">
        <f aca="false">IF($A43="",0,IF(AND($G43&gt;=0,$G43&lt;=7,$J43&lt;&gt;"Completed",$J43&lt;&gt;"On Hold"),1,0))</f>
        <v>0</v>
      </c>
      <c r="AB43" s="3" t="n">
        <f aca="false">IF($A43="",0,IF(AND($O43="Us",$J43&lt;&gt;"Completed"),1,0))</f>
        <v>0</v>
      </c>
      <c r="AC43" s="3" t="n">
        <f aca="false">IF($A43="",0,IF(AND($H43="Awaiting Feedback",$R43&lt;&gt;"",$R43&gt;7),1,0))</f>
        <v>0</v>
      </c>
      <c r="AD43" s="3" t="n">
        <f aca="false">IF($A43="",0,IF(AND($M43&lt;&gt;"",$M43&lt;=1,$J43&lt;&gt;"Completed"),1,0))</f>
        <v>0</v>
      </c>
      <c r="AE43" s="3" t="n">
        <f aca="false">IFERROR(IF(AND($A43&lt;&gt;"",INDEX('Project Financials'!$AC$5:$AC$64,MATCH($A43,'Project Financials'!$A$5:$A$64,0))&lt;0.2,INDEX('Project Financials'!$D$5:$D$64,MATCH($A43,'Project Financials'!$A$5:$A$64,0))&gt;0),1,0),0)</f>
        <v>0</v>
      </c>
      <c r="AF43" s="3" t="n">
        <f aca="false">IFERROR(IF(OR(INDEX(Payments!$N$5:$N$64,MATCH($A43,Payments!$B$5:$B$64,0))="Overdue",INDEX(Payments!$N$5:$N$64,MATCH($A43,Payments!$B$5:$B$64,0))="Awaiting Deposit"),1,0),0)</f>
        <v>0</v>
      </c>
      <c r="AG43" s="3" t="n">
        <f aca="false">IF($A43="",0,IF(SUM(Z43:AF43)&gt;0,1,0))</f>
        <v>0</v>
      </c>
      <c r="AH43" s="3" t="str">
        <f aca="false">IF($AG43=0,"",LEFT((IF($Z43=1,"Overdue; ",""))&amp;(IF($AA43=1,"Deadline ≤ 7 days; ",""))&amp;(IF($AB43=1,"Action needed from us; ",""))&amp;(IF($AC43=1,"Client feedback overdue; ",""))&amp;(IF($AD43=1,"At iteration limit; ",""))&amp;(IF($AE43=1,"Low margin; ",""))&amp;(IF($AF43=1,"Unpaid invoice; ","")),LEN((IF($Z43=1,"Overdue; ",""))&amp;(IF($AA43=1,"Deadline ≤ 7 days; ",""))&amp;(IF($AB43=1,"Action needed from us; ",""))&amp;(IF($AC43=1,"Client feedback overdue; ",""))&amp;(IF($AD43=1,"At iteration limit; ",""))&amp;(IF($AE43=1,"Low margin; ",""))&amp;(IF($AF43=1,"Unpaid invoice; ","")))-2))</f>
        <v/>
      </c>
      <c r="AI43" s="3" t="str">
        <f aca="false">IF(AND($A43&lt;&gt;"",$J43&lt;&gt;"Completed",$J43&lt;&gt;"On Hold"),$F43*1000+(ROW()-ROW($A$5)+1),"")</f>
        <v/>
      </c>
      <c r="AJ43" s="3" t="str">
        <f aca="false">IF($AG43=1,ROW()-ROW($A$5)+1,"")</f>
        <v/>
      </c>
      <c r="AK43" s="35"/>
    </row>
    <row r="44" customFormat="false" ht="25.5" hidden="false" customHeight="true" outlineLevel="0" collapsed="false">
      <c r="A44" s="30"/>
      <c r="B44" s="30"/>
      <c r="C44" s="20" t="str">
        <f aca="false">IFERROR(INDEX(Clients!$B$5:$B$44,MATCH($B44,Clients!$A$5:$A$44,0)),"")</f>
        <v/>
      </c>
      <c r="D44" s="30"/>
      <c r="E44" s="31"/>
      <c r="F44" s="31"/>
      <c r="G44" s="20" t="str">
        <f aca="true">IF($A44="","",$F44-TODAY())</f>
        <v/>
      </c>
      <c r="H44" s="30"/>
      <c r="I44" s="30"/>
      <c r="J44" s="20" t="str">
        <f aca="false">IF($A44="","",_xlfn.IFS(OR($W44="Yes",$H44="Complete"),"Completed",$H44="On Hold","On Hold",$G44&lt;0,"Overdue",$O44="Client","Waiting on Client",$G44&lt;=7,"At Risk",TRUE(),"On Track"))</f>
        <v/>
      </c>
      <c r="K44" s="20" t="str">
        <f aca="false">IF($A44="","",IFERROR(_xlfn.MAXIFS('Iteration Tracker'!$D$5:$D$124,'Iteration Tracker'!$A$5:$A$124,$A44),0))</f>
        <v/>
      </c>
      <c r="L44" s="30"/>
      <c r="M44" s="20" t="str">
        <f aca="false">IF($A44="","",$L44-$K44)</f>
        <v/>
      </c>
      <c r="N44" s="31"/>
      <c r="O44" s="30"/>
      <c r="P44" s="34"/>
      <c r="Q44" s="31"/>
      <c r="R44" s="20" t="str">
        <f aca="true">IF($A44="","",IF($N44="","",TODAY()-$N44))</f>
        <v/>
      </c>
      <c r="S44" s="30"/>
      <c r="T44" s="30"/>
      <c r="U44" s="30"/>
      <c r="V44" s="30"/>
      <c r="W44" s="30"/>
      <c r="X44" s="34"/>
      <c r="Z44" s="3" t="n">
        <f aca="false">IF($A44="",0,IF(AND($G44&lt;0,$J44&lt;&gt;"Completed",$J44&lt;&gt;"On Hold"),1,0))</f>
        <v>0</v>
      </c>
      <c r="AA44" s="3" t="n">
        <f aca="false">IF($A44="",0,IF(AND($G44&gt;=0,$G44&lt;=7,$J44&lt;&gt;"Completed",$J44&lt;&gt;"On Hold"),1,0))</f>
        <v>0</v>
      </c>
      <c r="AB44" s="3" t="n">
        <f aca="false">IF($A44="",0,IF(AND($O44="Us",$J44&lt;&gt;"Completed"),1,0))</f>
        <v>0</v>
      </c>
      <c r="AC44" s="3" t="n">
        <f aca="false">IF($A44="",0,IF(AND($H44="Awaiting Feedback",$R44&lt;&gt;"",$R44&gt;7),1,0))</f>
        <v>0</v>
      </c>
      <c r="AD44" s="3" t="n">
        <f aca="false">IF($A44="",0,IF(AND($M44&lt;&gt;"",$M44&lt;=1,$J44&lt;&gt;"Completed"),1,0))</f>
        <v>0</v>
      </c>
      <c r="AE44" s="3" t="n">
        <f aca="false">IFERROR(IF(AND($A44&lt;&gt;"",INDEX('Project Financials'!$AC$5:$AC$64,MATCH($A44,'Project Financials'!$A$5:$A$64,0))&lt;0.2,INDEX('Project Financials'!$D$5:$D$64,MATCH($A44,'Project Financials'!$A$5:$A$64,0))&gt;0),1,0),0)</f>
        <v>0</v>
      </c>
      <c r="AF44" s="3" t="n">
        <f aca="false">IFERROR(IF(OR(INDEX(Payments!$N$5:$N$64,MATCH($A44,Payments!$B$5:$B$64,0))="Overdue",INDEX(Payments!$N$5:$N$64,MATCH($A44,Payments!$B$5:$B$64,0))="Awaiting Deposit"),1,0),0)</f>
        <v>0</v>
      </c>
      <c r="AG44" s="3" t="n">
        <f aca="false">IF($A44="",0,IF(SUM(Z44:AF44)&gt;0,1,0))</f>
        <v>0</v>
      </c>
      <c r="AH44" s="3" t="str">
        <f aca="false">IF($AG44=0,"",LEFT((IF($Z44=1,"Overdue; ",""))&amp;(IF($AA44=1,"Deadline ≤ 7 days; ",""))&amp;(IF($AB44=1,"Action needed from us; ",""))&amp;(IF($AC44=1,"Client feedback overdue; ",""))&amp;(IF($AD44=1,"At iteration limit; ",""))&amp;(IF($AE44=1,"Low margin; ",""))&amp;(IF($AF44=1,"Unpaid invoice; ","")),LEN((IF($Z44=1,"Overdue; ",""))&amp;(IF($AA44=1,"Deadline ≤ 7 days; ",""))&amp;(IF($AB44=1,"Action needed from us; ",""))&amp;(IF($AC44=1,"Client feedback overdue; ",""))&amp;(IF($AD44=1,"At iteration limit; ",""))&amp;(IF($AE44=1,"Low margin; ",""))&amp;(IF($AF44=1,"Unpaid invoice; ","")))-2))</f>
        <v/>
      </c>
      <c r="AI44" s="3" t="str">
        <f aca="false">IF(AND($A44&lt;&gt;"",$J44&lt;&gt;"Completed",$J44&lt;&gt;"On Hold"),$F44*1000+(ROW()-ROW($A$5)+1),"")</f>
        <v/>
      </c>
      <c r="AJ44" s="3" t="str">
        <f aca="false">IF($AG44=1,ROW()-ROW($A$5)+1,"")</f>
        <v/>
      </c>
      <c r="AK44" s="35"/>
    </row>
    <row r="45" customFormat="false" ht="25.5" hidden="false" customHeight="true" outlineLevel="0" collapsed="false">
      <c r="A45" s="30"/>
      <c r="B45" s="30"/>
      <c r="C45" s="20" t="str">
        <f aca="false">IFERROR(INDEX(Clients!$B$5:$B$44,MATCH($B45,Clients!$A$5:$A$44,0)),"")</f>
        <v/>
      </c>
      <c r="D45" s="30"/>
      <c r="E45" s="31"/>
      <c r="F45" s="31"/>
      <c r="G45" s="20" t="str">
        <f aca="true">IF($A45="","",$F45-TODAY())</f>
        <v/>
      </c>
      <c r="H45" s="30"/>
      <c r="I45" s="30"/>
      <c r="J45" s="20" t="str">
        <f aca="false">IF($A45="","",_xlfn.IFS(OR($W45="Yes",$H45="Complete"),"Completed",$H45="On Hold","On Hold",$G45&lt;0,"Overdue",$O45="Client","Waiting on Client",$G45&lt;=7,"At Risk",TRUE(),"On Track"))</f>
        <v/>
      </c>
      <c r="K45" s="20" t="str">
        <f aca="false">IF($A45="","",IFERROR(_xlfn.MAXIFS('Iteration Tracker'!$D$5:$D$124,'Iteration Tracker'!$A$5:$A$124,$A45),0))</f>
        <v/>
      </c>
      <c r="L45" s="30"/>
      <c r="M45" s="20" t="str">
        <f aca="false">IF($A45="","",$L45-$K45)</f>
        <v/>
      </c>
      <c r="N45" s="31"/>
      <c r="O45" s="30"/>
      <c r="P45" s="34"/>
      <c r="Q45" s="31"/>
      <c r="R45" s="20" t="str">
        <f aca="true">IF($A45="","",IF($N45="","",TODAY()-$N45))</f>
        <v/>
      </c>
      <c r="S45" s="30"/>
      <c r="T45" s="30"/>
      <c r="U45" s="30"/>
      <c r="V45" s="30"/>
      <c r="W45" s="30"/>
      <c r="X45" s="34"/>
      <c r="Z45" s="3" t="n">
        <f aca="false">IF($A45="",0,IF(AND($G45&lt;0,$J45&lt;&gt;"Completed",$J45&lt;&gt;"On Hold"),1,0))</f>
        <v>0</v>
      </c>
      <c r="AA45" s="3" t="n">
        <f aca="false">IF($A45="",0,IF(AND($G45&gt;=0,$G45&lt;=7,$J45&lt;&gt;"Completed",$J45&lt;&gt;"On Hold"),1,0))</f>
        <v>0</v>
      </c>
      <c r="AB45" s="3" t="n">
        <f aca="false">IF($A45="",0,IF(AND($O45="Us",$J45&lt;&gt;"Completed"),1,0))</f>
        <v>0</v>
      </c>
      <c r="AC45" s="3" t="n">
        <f aca="false">IF($A45="",0,IF(AND($H45="Awaiting Feedback",$R45&lt;&gt;"",$R45&gt;7),1,0))</f>
        <v>0</v>
      </c>
      <c r="AD45" s="3" t="n">
        <f aca="false">IF($A45="",0,IF(AND($M45&lt;&gt;"",$M45&lt;=1,$J45&lt;&gt;"Completed"),1,0))</f>
        <v>0</v>
      </c>
      <c r="AE45" s="3" t="n">
        <f aca="false">IFERROR(IF(AND($A45&lt;&gt;"",INDEX('Project Financials'!$AC$5:$AC$64,MATCH($A45,'Project Financials'!$A$5:$A$64,0))&lt;0.2,INDEX('Project Financials'!$D$5:$D$64,MATCH($A45,'Project Financials'!$A$5:$A$64,0))&gt;0),1,0),0)</f>
        <v>0</v>
      </c>
      <c r="AF45" s="3" t="n">
        <f aca="false">IFERROR(IF(OR(INDEX(Payments!$N$5:$N$64,MATCH($A45,Payments!$B$5:$B$64,0))="Overdue",INDEX(Payments!$N$5:$N$64,MATCH($A45,Payments!$B$5:$B$64,0))="Awaiting Deposit"),1,0),0)</f>
        <v>0</v>
      </c>
      <c r="AG45" s="3" t="n">
        <f aca="false">IF($A45="",0,IF(SUM(Z45:AF45)&gt;0,1,0))</f>
        <v>0</v>
      </c>
      <c r="AH45" s="3" t="str">
        <f aca="false">IF($AG45=0,"",LEFT((IF($Z45=1,"Overdue; ",""))&amp;(IF($AA45=1,"Deadline ≤ 7 days; ",""))&amp;(IF($AB45=1,"Action needed from us; ",""))&amp;(IF($AC45=1,"Client feedback overdue; ",""))&amp;(IF($AD45=1,"At iteration limit; ",""))&amp;(IF($AE45=1,"Low margin; ",""))&amp;(IF($AF45=1,"Unpaid invoice; ","")),LEN((IF($Z45=1,"Overdue; ",""))&amp;(IF($AA45=1,"Deadline ≤ 7 days; ",""))&amp;(IF($AB45=1,"Action needed from us; ",""))&amp;(IF($AC45=1,"Client feedback overdue; ",""))&amp;(IF($AD45=1,"At iteration limit; ",""))&amp;(IF($AE45=1,"Low margin; ",""))&amp;(IF($AF45=1,"Unpaid invoice; ","")))-2))</f>
        <v/>
      </c>
      <c r="AI45" s="3" t="str">
        <f aca="false">IF(AND($A45&lt;&gt;"",$J45&lt;&gt;"Completed",$J45&lt;&gt;"On Hold"),$F45*1000+(ROW()-ROW($A$5)+1),"")</f>
        <v/>
      </c>
      <c r="AJ45" s="3" t="str">
        <f aca="false">IF($AG45=1,ROW()-ROW($A$5)+1,"")</f>
        <v/>
      </c>
      <c r="AK45" s="35"/>
    </row>
    <row r="46" customFormat="false" ht="25.5" hidden="false" customHeight="true" outlineLevel="0" collapsed="false">
      <c r="A46" s="30"/>
      <c r="B46" s="30"/>
      <c r="C46" s="20" t="str">
        <f aca="false">IFERROR(INDEX(Clients!$B$5:$B$44,MATCH($B46,Clients!$A$5:$A$44,0)),"")</f>
        <v/>
      </c>
      <c r="D46" s="30"/>
      <c r="E46" s="31"/>
      <c r="F46" s="31"/>
      <c r="G46" s="20" t="str">
        <f aca="true">IF($A46="","",$F46-TODAY())</f>
        <v/>
      </c>
      <c r="H46" s="30"/>
      <c r="I46" s="30"/>
      <c r="J46" s="20" t="str">
        <f aca="false">IF($A46="","",_xlfn.IFS(OR($W46="Yes",$H46="Complete"),"Completed",$H46="On Hold","On Hold",$G46&lt;0,"Overdue",$O46="Client","Waiting on Client",$G46&lt;=7,"At Risk",TRUE(),"On Track"))</f>
        <v/>
      </c>
      <c r="K46" s="20" t="str">
        <f aca="false">IF($A46="","",IFERROR(_xlfn.MAXIFS('Iteration Tracker'!$D$5:$D$124,'Iteration Tracker'!$A$5:$A$124,$A46),0))</f>
        <v/>
      </c>
      <c r="L46" s="30"/>
      <c r="M46" s="20" t="str">
        <f aca="false">IF($A46="","",$L46-$K46)</f>
        <v/>
      </c>
      <c r="N46" s="31"/>
      <c r="O46" s="30"/>
      <c r="P46" s="34"/>
      <c r="Q46" s="31"/>
      <c r="R46" s="20" t="str">
        <f aca="true">IF($A46="","",IF($N46="","",TODAY()-$N46))</f>
        <v/>
      </c>
      <c r="S46" s="30"/>
      <c r="T46" s="30"/>
      <c r="U46" s="30"/>
      <c r="V46" s="30"/>
      <c r="W46" s="30"/>
      <c r="X46" s="34"/>
      <c r="Z46" s="3" t="n">
        <f aca="false">IF($A46="",0,IF(AND($G46&lt;0,$J46&lt;&gt;"Completed",$J46&lt;&gt;"On Hold"),1,0))</f>
        <v>0</v>
      </c>
      <c r="AA46" s="3" t="n">
        <f aca="false">IF($A46="",0,IF(AND($G46&gt;=0,$G46&lt;=7,$J46&lt;&gt;"Completed",$J46&lt;&gt;"On Hold"),1,0))</f>
        <v>0</v>
      </c>
      <c r="AB46" s="3" t="n">
        <f aca="false">IF($A46="",0,IF(AND($O46="Us",$J46&lt;&gt;"Completed"),1,0))</f>
        <v>0</v>
      </c>
      <c r="AC46" s="3" t="n">
        <f aca="false">IF($A46="",0,IF(AND($H46="Awaiting Feedback",$R46&lt;&gt;"",$R46&gt;7),1,0))</f>
        <v>0</v>
      </c>
      <c r="AD46" s="3" t="n">
        <f aca="false">IF($A46="",0,IF(AND($M46&lt;&gt;"",$M46&lt;=1,$J46&lt;&gt;"Completed"),1,0))</f>
        <v>0</v>
      </c>
      <c r="AE46" s="3" t="n">
        <f aca="false">IFERROR(IF(AND($A46&lt;&gt;"",INDEX('Project Financials'!$AC$5:$AC$64,MATCH($A46,'Project Financials'!$A$5:$A$64,0))&lt;0.2,INDEX('Project Financials'!$D$5:$D$64,MATCH($A46,'Project Financials'!$A$5:$A$64,0))&gt;0),1,0),0)</f>
        <v>0</v>
      </c>
      <c r="AF46" s="3" t="n">
        <f aca="false">IFERROR(IF(OR(INDEX(Payments!$N$5:$N$64,MATCH($A46,Payments!$B$5:$B$64,0))="Overdue",INDEX(Payments!$N$5:$N$64,MATCH($A46,Payments!$B$5:$B$64,0))="Awaiting Deposit"),1,0),0)</f>
        <v>0</v>
      </c>
      <c r="AG46" s="3" t="n">
        <f aca="false">IF($A46="",0,IF(SUM(Z46:AF46)&gt;0,1,0))</f>
        <v>0</v>
      </c>
      <c r="AH46" s="3" t="str">
        <f aca="false">IF($AG46=0,"",LEFT((IF($Z46=1,"Overdue; ",""))&amp;(IF($AA46=1,"Deadline ≤ 7 days; ",""))&amp;(IF($AB46=1,"Action needed from us; ",""))&amp;(IF($AC46=1,"Client feedback overdue; ",""))&amp;(IF($AD46=1,"At iteration limit; ",""))&amp;(IF($AE46=1,"Low margin; ",""))&amp;(IF($AF46=1,"Unpaid invoice; ","")),LEN((IF($Z46=1,"Overdue; ",""))&amp;(IF($AA46=1,"Deadline ≤ 7 days; ",""))&amp;(IF($AB46=1,"Action needed from us; ",""))&amp;(IF($AC46=1,"Client feedback overdue; ",""))&amp;(IF($AD46=1,"At iteration limit; ",""))&amp;(IF($AE46=1,"Low margin; ",""))&amp;(IF($AF46=1,"Unpaid invoice; ","")))-2))</f>
        <v/>
      </c>
      <c r="AI46" s="3" t="str">
        <f aca="false">IF(AND($A46&lt;&gt;"",$J46&lt;&gt;"Completed",$J46&lt;&gt;"On Hold"),$F46*1000+(ROW()-ROW($A$5)+1),"")</f>
        <v/>
      </c>
      <c r="AJ46" s="3" t="str">
        <f aca="false">IF($AG46=1,ROW()-ROW($A$5)+1,"")</f>
        <v/>
      </c>
      <c r="AK46" s="35"/>
    </row>
    <row r="47" customFormat="false" ht="25.5" hidden="false" customHeight="true" outlineLevel="0" collapsed="false">
      <c r="A47" s="30"/>
      <c r="B47" s="30"/>
      <c r="C47" s="20" t="str">
        <f aca="false">IFERROR(INDEX(Clients!$B$5:$B$44,MATCH($B47,Clients!$A$5:$A$44,0)),"")</f>
        <v/>
      </c>
      <c r="D47" s="30"/>
      <c r="E47" s="31"/>
      <c r="F47" s="31"/>
      <c r="G47" s="20" t="str">
        <f aca="true">IF($A47="","",$F47-TODAY())</f>
        <v/>
      </c>
      <c r="H47" s="30"/>
      <c r="I47" s="30"/>
      <c r="J47" s="20" t="str">
        <f aca="false">IF($A47="","",_xlfn.IFS(OR($W47="Yes",$H47="Complete"),"Completed",$H47="On Hold","On Hold",$G47&lt;0,"Overdue",$O47="Client","Waiting on Client",$G47&lt;=7,"At Risk",TRUE(),"On Track"))</f>
        <v/>
      </c>
      <c r="K47" s="20" t="str">
        <f aca="false">IF($A47="","",IFERROR(_xlfn.MAXIFS('Iteration Tracker'!$D$5:$D$124,'Iteration Tracker'!$A$5:$A$124,$A47),0))</f>
        <v/>
      </c>
      <c r="L47" s="30"/>
      <c r="M47" s="20" t="str">
        <f aca="false">IF($A47="","",$L47-$K47)</f>
        <v/>
      </c>
      <c r="N47" s="31"/>
      <c r="O47" s="30"/>
      <c r="P47" s="34"/>
      <c r="Q47" s="31"/>
      <c r="R47" s="20" t="str">
        <f aca="true">IF($A47="","",IF($N47="","",TODAY()-$N47))</f>
        <v/>
      </c>
      <c r="S47" s="30"/>
      <c r="T47" s="30"/>
      <c r="U47" s="30"/>
      <c r="V47" s="30"/>
      <c r="W47" s="30"/>
      <c r="X47" s="34"/>
      <c r="Z47" s="3" t="n">
        <f aca="false">IF($A47="",0,IF(AND($G47&lt;0,$J47&lt;&gt;"Completed",$J47&lt;&gt;"On Hold"),1,0))</f>
        <v>0</v>
      </c>
      <c r="AA47" s="3" t="n">
        <f aca="false">IF($A47="",0,IF(AND($G47&gt;=0,$G47&lt;=7,$J47&lt;&gt;"Completed",$J47&lt;&gt;"On Hold"),1,0))</f>
        <v>0</v>
      </c>
      <c r="AB47" s="3" t="n">
        <f aca="false">IF($A47="",0,IF(AND($O47="Us",$J47&lt;&gt;"Completed"),1,0))</f>
        <v>0</v>
      </c>
      <c r="AC47" s="3" t="n">
        <f aca="false">IF($A47="",0,IF(AND($H47="Awaiting Feedback",$R47&lt;&gt;"",$R47&gt;7),1,0))</f>
        <v>0</v>
      </c>
      <c r="AD47" s="3" t="n">
        <f aca="false">IF($A47="",0,IF(AND($M47&lt;&gt;"",$M47&lt;=1,$J47&lt;&gt;"Completed"),1,0))</f>
        <v>0</v>
      </c>
      <c r="AE47" s="3" t="n">
        <f aca="false">IFERROR(IF(AND($A47&lt;&gt;"",INDEX('Project Financials'!$AC$5:$AC$64,MATCH($A47,'Project Financials'!$A$5:$A$64,0))&lt;0.2,INDEX('Project Financials'!$D$5:$D$64,MATCH($A47,'Project Financials'!$A$5:$A$64,0))&gt;0),1,0),0)</f>
        <v>0</v>
      </c>
      <c r="AF47" s="3" t="n">
        <f aca="false">IFERROR(IF(OR(INDEX(Payments!$N$5:$N$64,MATCH($A47,Payments!$B$5:$B$64,0))="Overdue",INDEX(Payments!$N$5:$N$64,MATCH($A47,Payments!$B$5:$B$64,0))="Awaiting Deposit"),1,0),0)</f>
        <v>0</v>
      </c>
      <c r="AG47" s="3" t="n">
        <f aca="false">IF($A47="",0,IF(SUM(Z47:AF47)&gt;0,1,0))</f>
        <v>0</v>
      </c>
      <c r="AH47" s="3" t="str">
        <f aca="false">IF($AG47=0,"",LEFT((IF($Z47=1,"Overdue; ",""))&amp;(IF($AA47=1,"Deadline ≤ 7 days; ",""))&amp;(IF($AB47=1,"Action needed from us; ",""))&amp;(IF($AC47=1,"Client feedback overdue; ",""))&amp;(IF($AD47=1,"At iteration limit; ",""))&amp;(IF($AE47=1,"Low margin; ",""))&amp;(IF($AF47=1,"Unpaid invoice; ","")),LEN((IF($Z47=1,"Overdue; ",""))&amp;(IF($AA47=1,"Deadline ≤ 7 days; ",""))&amp;(IF($AB47=1,"Action needed from us; ",""))&amp;(IF($AC47=1,"Client feedback overdue; ",""))&amp;(IF($AD47=1,"At iteration limit; ",""))&amp;(IF($AE47=1,"Low margin; ",""))&amp;(IF($AF47=1,"Unpaid invoice; ","")))-2))</f>
        <v/>
      </c>
      <c r="AI47" s="3" t="str">
        <f aca="false">IF(AND($A47&lt;&gt;"",$J47&lt;&gt;"Completed",$J47&lt;&gt;"On Hold"),$F47*1000+(ROW()-ROW($A$5)+1),"")</f>
        <v/>
      </c>
      <c r="AJ47" s="3" t="str">
        <f aca="false">IF($AG47=1,ROW()-ROW($A$5)+1,"")</f>
        <v/>
      </c>
      <c r="AK47" s="35"/>
    </row>
    <row r="48" customFormat="false" ht="25.5" hidden="false" customHeight="true" outlineLevel="0" collapsed="false">
      <c r="A48" s="30"/>
      <c r="B48" s="30"/>
      <c r="C48" s="20" t="str">
        <f aca="false">IFERROR(INDEX(Clients!$B$5:$B$44,MATCH($B48,Clients!$A$5:$A$44,0)),"")</f>
        <v/>
      </c>
      <c r="D48" s="30"/>
      <c r="E48" s="31"/>
      <c r="F48" s="31"/>
      <c r="G48" s="20" t="str">
        <f aca="true">IF($A48="","",$F48-TODAY())</f>
        <v/>
      </c>
      <c r="H48" s="30"/>
      <c r="I48" s="30"/>
      <c r="J48" s="20" t="str">
        <f aca="false">IF($A48="","",_xlfn.IFS(OR($W48="Yes",$H48="Complete"),"Completed",$H48="On Hold","On Hold",$G48&lt;0,"Overdue",$O48="Client","Waiting on Client",$G48&lt;=7,"At Risk",TRUE(),"On Track"))</f>
        <v/>
      </c>
      <c r="K48" s="20" t="str">
        <f aca="false">IF($A48="","",IFERROR(_xlfn.MAXIFS('Iteration Tracker'!$D$5:$D$124,'Iteration Tracker'!$A$5:$A$124,$A48),0))</f>
        <v/>
      </c>
      <c r="L48" s="30"/>
      <c r="M48" s="20" t="str">
        <f aca="false">IF($A48="","",$L48-$K48)</f>
        <v/>
      </c>
      <c r="N48" s="31"/>
      <c r="O48" s="30"/>
      <c r="P48" s="34"/>
      <c r="Q48" s="31"/>
      <c r="R48" s="20" t="str">
        <f aca="true">IF($A48="","",IF($N48="","",TODAY()-$N48))</f>
        <v/>
      </c>
      <c r="S48" s="30"/>
      <c r="T48" s="30"/>
      <c r="U48" s="30"/>
      <c r="V48" s="30"/>
      <c r="W48" s="30"/>
      <c r="X48" s="34"/>
      <c r="Z48" s="3" t="n">
        <f aca="false">IF($A48="",0,IF(AND($G48&lt;0,$J48&lt;&gt;"Completed",$J48&lt;&gt;"On Hold"),1,0))</f>
        <v>0</v>
      </c>
      <c r="AA48" s="3" t="n">
        <f aca="false">IF($A48="",0,IF(AND($G48&gt;=0,$G48&lt;=7,$J48&lt;&gt;"Completed",$J48&lt;&gt;"On Hold"),1,0))</f>
        <v>0</v>
      </c>
      <c r="AB48" s="3" t="n">
        <f aca="false">IF($A48="",0,IF(AND($O48="Us",$J48&lt;&gt;"Completed"),1,0))</f>
        <v>0</v>
      </c>
      <c r="AC48" s="3" t="n">
        <f aca="false">IF($A48="",0,IF(AND($H48="Awaiting Feedback",$R48&lt;&gt;"",$R48&gt;7),1,0))</f>
        <v>0</v>
      </c>
      <c r="AD48" s="3" t="n">
        <f aca="false">IF($A48="",0,IF(AND($M48&lt;&gt;"",$M48&lt;=1,$J48&lt;&gt;"Completed"),1,0))</f>
        <v>0</v>
      </c>
      <c r="AE48" s="3" t="n">
        <f aca="false">IFERROR(IF(AND($A48&lt;&gt;"",INDEX('Project Financials'!$AC$5:$AC$64,MATCH($A48,'Project Financials'!$A$5:$A$64,0))&lt;0.2,INDEX('Project Financials'!$D$5:$D$64,MATCH($A48,'Project Financials'!$A$5:$A$64,0))&gt;0),1,0),0)</f>
        <v>0</v>
      </c>
      <c r="AF48" s="3" t="n">
        <f aca="false">IFERROR(IF(OR(INDEX(Payments!$N$5:$N$64,MATCH($A48,Payments!$B$5:$B$64,0))="Overdue",INDEX(Payments!$N$5:$N$64,MATCH($A48,Payments!$B$5:$B$64,0))="Awaiting Deposit"),1,0),0)</f>
        <v>0</v>
      </c>
      <c r="AG48" s="3" t="n">
        <f aca="false">IF($A48="",0,IF(SUM(Z48:AF48)&gt;0,1,0))</f>
        <v>0</v>
      </c>
      <c r="AH48" s="3" t="str">
        <f aca="false">IF($AG48=0,"",LEFT((IF($Z48=1,"Overdue; ",""))&amp;(IF($AA48=1,"Deadline ≤ 7 days; ",""))&amp;(IF($AB48=1,"Action needed from us; ",""))&amp;(IF($AC48=1,"Client feedback overdue; ",""))&amp;(IF($AD48=1,"At iteration limit; ",""))&amp;(IF($AE48=1,"Low margin; ",""))&amp;(IF($AF48=1,"Unpaid invoice; ","")),LEN((IF($Z48=1,"Overdue; ",""))&amp;(IF($AA48=1,"Deadline ≤ 7 days; ",""))&amp;(IF($AB48=1,"Action needed from us; ",""))&amp;(IF($AC48=1,"Client feedback overdue; ",""))&amp;(IF($AD48=1,"At iteration limit; ",""))&amp;(IF($AE48=1,"Low margin; ",""))&amp;(IF($AF48=1,"Unpaid invoice; ","")))-2))</f>
        <v/>
      </c>
      <c r="AI48" s="3" t="str">
        <f aca="false">IF(AND($A48&lt;&gt;"",$J48&lt;&gt;"Completed",$J48&lt;&gt;"On Hold"),$F48*1000+(ROW()-ROW($A$5)+1),"")</f>
        <v/>
      </c>
      <c r="AJ48" s="3" t="str">
        <f aca="false">IF($AG48=1,ROW()-ROW($A$5)+1,"")</f>
        <v/>
      </c>
      <c r="AK48" s="35"/>
    </row>
    <row r="49" customFormat="false" ht="25.5" hidden="false" customHeight="true" outlineLevel="0" collapsed="false">
      <c r="A49" s="30"/>
      <c r="B49" s="30"/>
      <c r="C49" s="20" t="str">
        <f aca="false">IFERROR(INDEX(Clients!$B$5:$B$44,MATCH($B49,Clients!$A$5:$A$44,0)),"")</f>
        <v/>
      </c>
      <c r="D49" s="30"/>
      <c r="E49" s="31"/>
      <c r="F49" s="31"/>
      <c r="G49" s="20" t="str">
        <f aca="true">IF($A49="","",$F49-TODAY())</f>
        <v/>
      </c>
      <c r="H49" s="30"/>
      <c r="I49" s="30"/>
      <c r="J49" s="20" t="str">
        <f aca="false">IF($A49="","",_xlfn.IFS(OR($W49="Yes",$H49="Complete"),"Completed",$H49="On Hold","On Hold",$G49&lt;0,"Overdue",$O49="Client","Waiting on Client",$G49&lt;=7,"At Risk",TRUE(),"On Track"))</f>
        <v/>
      </c>
      <c r="K49" s="20" t="str">
        <f aca="false">IF($A49="","",IFERROR(_xlfn.MAXIFS('Iteration Tracker'!$D$5:$D$124,'Iteration Tracker'!$A$5:$A$124,$A49),0))</f>
        <v/>
      </c>
      <c r="L49" s="30"/>
      <c r="M49" s="20" t="str">
        <f aca="false">IF($A49="","",$L49-$K49)</f>
        <v/>
      </c>
      <c r="N49" s="31"/>
      <c r="O49" s="30"/>
      <c r="P49" s="34"/>
      <c r="Q49" s="31"/>
      <c r="R49" s="20" t="str">
        <f aca="true">IF($A49="","",IF($N49="","",TODAY()-$N49))</f>
        <v/>
      </c>
      <c r="S49" s="30"/>
      <c r="T49" s="30"/>
      <c r="U49" s="30"/>
      <c r="V49" s="30"/>
      <c r="W49" s="30"/>
      <c r="X49" s="34"/>
      <c r="Z49" s="3" t="n">
        <f aca="false">IF($A49="",0,IF(AND($G49&lt;0,$J49&lt;&gt;"Completed",$J49&lt;&gt;"On Hold"),1,0))</f>
        <v>0</v>
      </c>
      <c r="AA49" s="3" t="n">
        <f aca="false">IF($A49="",0,IF(AND($G49&gt;=0,$G49&lt;=7,$J49&lt;&gt;"Completed",$J49&lt;&gt;"On Hold"),1,0))</f>
        <v>0</v>
      </c>
      <c r="AB49" s="3" t="n">
        <f aca="false">IF($A49="",0,IF(AND($O49="Us",$J49&lt;&gt;"Completed"),1,0))</f>
        <v>0</v>
      </c>
      <c r="AC49" s="3" t="n">
        <f aca="false">IF($A49="",0,IF(AND($H49="Awaiting Feedback",$R49&lt;&gt;"",$R49&gt;7),1,0))</f>
        <v>0</v>
      </c>
      <c r="AD49" s="3" t="n">
        <f aca="false">IF($A49="",0,IF(AND($M49&lt;&gt;"",$M49&lt;=1,$J49&lt;&gt;"Completed"),1,0))</f>
        <v>0</v>
      </c>
      <c r="AE49" s="3" t="n">
        <f aca="false">IFERROR(IF(AND($A49&lt;&gt;"",INDEX('Project Financials'!$AC$5:$AC$64,MATCH($A49,'Project Financials'!$A$5:$A$64,0))&lt;0.2,INDEX('Project Financials'!$D$5:$D$64,MATCH($A49,'Project Financials'!$A$5:$A$64,0))&gt;0),1,0),0)</f>
        <v>0</v>
      </c>
      <c r="AF49" s="3" t="n">
        <f aca="false">IFERROR(IF(OR(INDEX(Payments!$N$5:$N$64,MATCH($A49,Payments!$B$5:$B$64,0))="Overdue",INDEX(Payments!$N$5:$N$64,MATCH($A49,Payments!$B$5:$B$64,0))="Awaiting Deposit"),1,0),0)</f>
        <v>0</v>
      </c>
      <c r="AG49" s="3" t="n">
        <f aca="false">IF($A49="",0,IF(SUM(Z49:AF49)&gt;0,1,0))</f>
        <v>0</v>
      </c>
      <c r="AH49" s="3" t="str">
        <f aca="false">IF($AG49=0,"",LEFT((IF($Z49=1,"Overdue; ",""))&amp;(IF($AA49=1,"Deadline ≤ 7 days; ",""))&amp;(IF($AB49=1,"Action needed from us; ",""))&amp;(IF($AC49=1,"Client feedback overdue; ",""))&amp;(IF($AD49=1,"At iteration limit; ",""))&amp;(IF($AE49=1,"Low margin; ",""))&amp;(IF($AF49=1,"Unpaid invoice; ","")),LEN((IF($Z49=1,"Overdue; ",""))&amp;(IF($AA49=1,"Deadline ≤ 7 days; ",""))&amp;(IF($AB49=1,"Action needed from us; ",""))&amp;(IF($AC49=1,"Client feedback overdue; ",""))&amp;(IF($AD49=1,"At iteration limit; ",""))&amp;(IF($AE49=1,"Low margin; ",""))&amp;(IF($AF49=1,"Unpaid invoice; ","")))-2))</f>
        <v/>
      </c>
      <c r="AI49" s="3" t="str">
        <f aca="false">IF(AND($A49&lt;&gt;"",$J49&lt;&gt;"Completed",$J49&lt;&gt;"On Hold"),$F49*1000+(ROW()-ROW($A$5)+1),"")</f>
        <v/>
      </c>
      <c r="AJ49" s="3" t="str">
        <f aca="false">IF($AG49=1,ROW()-ROW($A$5)+1,"")</f>
        <v/>
      </c>
      <c r="AK49" s="35"/>
    </row>
    <row r="50" customFormat="false" ht="25.5" hidden="false" customHeight="true" outlineLevel="0" collapsed="false">
      <c r="A50" s="30"/>
      <c r="B50" s="30"/>
      <c r="C50" s="20" t="str">
        <f aca="false">IFERROR(INDEX(Clients!$B$5:$B$44,MATCH($B50,Clients!$A$5:$A$44,0)),"")</f>
        <v/>
      </c>
      <c r="D50" s="30"/>
      <c r="E50" s="31"/>
      <c r="F50" s="31"/>
      <c r="G50" s="20" t="str">
        <f aca="true">IF($A50="","",$F50-TODAY())</f>
        <v/>
      </c>
      <c r="H50" s="30"/>
      <c r="I50" s="30"/>
      <c r="J50" s="20" t="str">
        <f aca="false">IF($A50="","",_xlfn.IFS(OR($W50="Yes",$H50="Complete"),"Completed",$H50="On Hold","On Hold",$G50&lt;0,"Overdue",$O50="Client","Waiting on Client",$G50&lt;=7,"At Risk",TRUE(),"On Track"))</f>
        <v/>
      </c>
      <c r="K50" s="20" t="str">
        <f aca="false">IF($A50="","",IFERROR(_xlfn.MAXIFS('Iteration Tracker'!$D$5:$D$124,'Iteration Tracker'!$A$5:$A$124,$A50),0))</f>
        <v/>
      </c>
      <c r="L50" s="30"/>
      <c r="M50" s="20" t="str">
        <f aca="false">IF($A50="","",$L50-$K50)</f>
        <v/>
      </c>
      <c r="N50" s="31"/>
      <c r="O50" s="30"/>
      <c r="P50" s="34"/>
      <c r="Q50" s="31"/>
      <c r="R50" s="20" t="str">
        <f aca="true">IF($A50="","",IF($N50="","",TODAY()-$N50))</f>
        <v/>
      </c>
      <c r="S50" s="30"/>
      <c r="T50" s="30"/>
      <c r="U50" s="30"/>
      <c r="V50" s="30"/>
      <c r="W50" s="30"/>
      <c r="X50" s="34"/>
      <c r="Z50" s="3" t="n">
        <f aca="false">IF($A50="",0,IF(AND($G50&lt;0,$J50&lt;&gt;"Completed",$J50&lt;&gt;"On Hold"),1,0))</f>
        <v>0</v>
      </c>
      <c r="AA50" s="3" t="n">
        <f aca="false">IF($A50="",0,IF(AND($G50&gt;=0,$G50&lt;=7,$J50&lt;&gt;"Completed",$J50&lt;&gt;"On Hold"),1,0))</f>
        <v>0</v>
      </c>
      <c r="AB50" s="3" t="n">
        <f aca="false">IF($A50="",0,IF(AND($O50="Us",$J50&lt;&gt;"Completed"),1,0))</f>
        <v>0</v>
      </c>
      <c r="AC50" s="3" t="n">
        <f aca="false">IF($A50="",0,IF(AND($H50="Awaiting Feedback",$R50&lt;&gt;"",$R50&gt;7),1,0))</f>
        <v>0</v>
      </c>
      <c r="AD50" s="3" t="n">
        <f aca="false">IF($A50="",0,IF(AND($M50&lt;&gt;"",$M50&lt;=1,$J50&lt;&gt;"Completed"),1,0))</f>
        <v>0</v>
      </c>
      <c r="AE50" s="3" t="n">
        <f aca="false">IFERROR(IF(AND($A50&lt;&gt;"",INDEX('Project Financials'!$AC$5:$AC$64,MATCH($A50,'Project Financials'!$A$5:$A$64,0))&lt;0.2,INDEX('Project Financials'!$D$5:$D$64,MATCH($A50,'Project Financials'!$A$5:$A$64,0))&gt;0),1,0),0)</f>
        <v>0</v>
      </c>
      <c r="AF50" s="3" t="n">
        <f aca="false">IFERROR(IF(OR(INDEX(Payments!$N$5:$N$64,MATCH($A50,Payments!$B$5:$B$64,0))="Overdue",INDEX(Payments!$N$5:$N$64,MATCH($A50,Payments!$B$5:$B$64,0))="Awaiting Deposit"),1,0),0)</f>
        <v>0</v>
      </c>
      <c r="AG50" s="3" t="n">
        <f aca="false">IF($A50="",0,IF(SUM(Z50:AF50)&gt;0,1,0))</f>
        <v>0</v>
      </c>
      <c r="AH50" s="3" t="str">
        <f aca="false">IF($AG50=0,"",LEFT((IF($Z50=1,"Overdue; ",""))&amp;(IF($AA50=1,"Deadline ≤ 7 days; ",""))&amp;(IF($AB50=1,"Action needed from us; ",""))&amp;(IF($AC50=1,"Client feedback overdue; ",""))&amp;(IF($AD50=1,"At iteration limit; ",""))&amp;(IF($AE50=1,"Low margin; ",""))&amp;(IF($AF50=1,"Unpaid invoice; ","")),LEN((IF($Z50=1,"Overdue; ",""))&amp;(IF($AA50=1,"Deadline ≤ 7 days; ",""))&amp;(IF($AB50=1,"Action needed from us; ",""))&amp;(IF($AC50=1,"Client feedback overdue; ",""))&amp;(IF($AD50=1,"At iteration limit; ",""))&amp;(IF($AE50=1,"Low margin; ",""))&amp;(IF($AF50=1,"Unpaid invoice; ","")))-2))</f>
        <v/>
      </c>
      <c r="AI50" s="3" t="str">
        <f aca="false">IF(AND($A50&lt;&gt;"",$J50&lt;&gt;"Completed",$J50&lt;&gt;"On Hold"),$F50*1000+(ROW()-ROW($A$5)+1),"")</f>
        <v/>
      </c>
      <c r="AJ50" s="3" t="str">
        <f aca="false">IF($AG50=1,ROW()-ROW($A$5)+1,"")</f>
        <v/>
      </c>
      <c r="AK50" s="35"/>
    </row>
    <row r="51" customFormat="false" ht="25.5" hidden="false" customHeight="true" outlineLevel="0" collapsed="false">
      <c r="A51" s="30"/>
      <c r="B51" s="30"/>
      <c r="C51" s="20" t="str">
        <f aca="false">IFERROR(INDEX(Clients!$B$5:$B$44,MATCH($B51,Clients!$A$5:$A$44,0)),"")</f>
        <v/>
      </c>
      <c r="D51" s="30"/>
      <c r="E51" s="31"/>
      <c r="F51" s="31"/>
      <c r="G51" s="20" t="str">
        <f aca="true">IF($A51="","",$F51-TODAY())</f>
        <v/>
      </c>
      <c r="H51" s="30"/>
      <c r="I51" s="30"/>
      <c r="J51" s="20" t="str">
        <f aca="false">IF($A51="","",_xlfn.IFS(OR($W51="Yes",$H51="Complete"),"Completed",$H51="On Hold","On Hold",$G51&lt;0,"Overdue",$O51="Client","Waiting on Client",$G51&lt;=7,"At Risk",TRUE(),"On Track"))</f>
        <v/>
      </c>
      <c r="K51" s="20" t="str">
        <f aca="false">IF($A51="","",IFERROR(_xlfn.MAXIFS('Iteration Tracker'!$D$5:$D$124,'Iteration Tracker'!$A$5:$A$124,$A51),0))</f>
        <v/>
      </c>
      <c r="L51" s="30"/>
      <c r="M51" s="20" t="str">
        <f aca="false">IF($A51="","",$L51-$K51)</f>
        <v/>
      </c>
      <c r="N51" s="31"/>
      <c r="O51" s="30"/>
      <c r="P51" s="34"/>
      <c r="Q51" s="31"/>
      <c r="R51" s="20" t="str">
        <f aca="true">IF($A51="","",IF($N51="","",TODAY()-$N51))</f>
        <v/>
      </c>
      <c r="S51" s="30"/>
      <c r="T51" s="30"/>
      <c r="U51" s="30"/>
      <c r="V51" s="30"/>
      <c r="W51" s="30"/>
      <c r="X51" s="34"/>
      <c r="Z51" s="3" t="n">
        <f aca="false">IF($A51="",0,IF(AND($G51&lt;0,$J51&lt;&gt;"Completed",$J51&lt;&gt;"On Hold"),1,0))</f>
        <v>0</v>
      </c>
      <c r="AA51" s="3" t="n">
        <f aca="false">IF($A51="",0,IF(AND($G51&gt;=0,$G51&lt;=7,$J51&lt;&gt;"Completed",$J51&lt;&gt;"On Hold"),1,0))</f>
        <v>0</v>
      </c>
      <c r="AB51" s="3" t="n">
        <f aca="false">IF($A51="",0,IF(AND($O51="Us",$J51&lt;&gt;"Completed"),1,0))</f>
        <v>0</v>
      </c>
      <c r="AC51" s="3" t="n">
        <f aca="false">IF($A51="",0,IF(AND($H51="Awaiting Feedback",$R51&lt;&gt;"",$R51&gt;7),1,0))</f>
        <v>0</v>
      </c>
      <c r="AD51" s="3" t="n">
        <f aca="false">IF($A51="",0,IF(AND($M51&lt;&gt;"",$M51&lt;=1,$J51&lt;&gt;"Completed"),1,0))</f>
        <v>0</v>
      </c>
      <c r="AE51" s="3" t="n">
        <f aca="false">IFERROR(IF(AND($A51&lt;&gt;"",INDEX('Project Financials'!$AC$5:$AC$64,MATCH($A51,'Project Financials'!$A$5:$A$64,0))&lt;0.2,INDEX('Project Financials'!$D$5:$D$64,MATCH($A51,'Project Financials'!$A$5:$A$64,0))&gt;0),1,0),0)</f>
        <v>0</v>
      </c>
      <c r="AF51" s="3" t="n">
        <f aca="false">IFERROR(IF(OR(INDEX(Payments!$N$5:$N$64,MATCH($A51,Payments!$B$5:$B$64,0))="Overdue",INDEX(Payments!$N$5:$N$64,MATCH($A51,Payments!$B$5:$B$64,0))="Awaiting Deposit"),1,0),0)</f>
        <v>0</v>
      </c>
      <c r="AG51" s="3" t="n">
        <f aca="false">IF($A51="",0,IF(SUM(Z51:AF51)&gt;0,1,0))</f>
        <v>0</v>
      </c>
      <c r="AH51" s="3" t="str">
        <f aca="false">IF($AG51=0,"",LEFT((IF($Z51=1,"Overdue; ",""))&amp;(IF($AA51=1,"Deadline ≤ 7 days; ",""))&amp;(IF($AB51=1,"Action needed from us; ",""))&amp;(IF($AC51=1,"Client feedback overdue; ",""))&amp;(IF($AD51=1,"At iteration limit; ",""))&amp;(IF($AE51=1,"Low margin; ",""))&amp;(IF($AF51=1,"Unpaid invoice; ","")),LEN((IF($Z51=1,"Overdue; ",""))&amp;(IF($AA51=1,"Deadline ≤ 7 days; ",""))&amp;(IF($AB51=1,"Action needed from us; ",""))&amp;(IF($AC51=1,"Client feedback overdue; ",""))&amp;(IF($AD51=1,"At iteration limit; ",""))&amp;(IF($AE51=1,"Low margin; ",""))&amp;(IF($AF51=1,"Unpaid invoice; ","")))-2))</f>
        <v/>
      </c>
      <c r="AI51" s="3" t="str">
        <f aca="false">IF(AND($A51&lt;&gt;"",$J51&lt;&gt;"Completed",$J51&lt;&gt;"On Hold"),$F51*1000+(ROW()-ROW($A$5)+1),"")</f>
        <v/>
      </c>
      <c r="AJ51" s="3" t="str">
        <f aca="false">IF($AG51=1,ROW()-ROW($A$5)+1,"")</f>
        <v/>
      </c>
      <c r="AK51" s="35"/>
    </row>
    <row r="52" customFormat="false" ht="25.5" hidden="false" customHeight="true" outlineLevel="0" collapsed="false">
      <c r="A52" s="30"/>
      <c r="B52" s="30"/>
      <c r="C52" s="20" t="str">
        <f aca="false">IFERROR(INDEX(Clients!$B$5:$B$44,MATCH($B52,Clients!$A$5:$A$44,0)),"")</f>
        <v/>
      </c>
      <c r="D52" s="30"/>
      <c r="E52" s="31"/>
      <c r="F52" s="31"/>
      <c r="G52" s="20" t="str">
        <f aca="true">IF($A52="","",$F52-TODAY())</f>
        <v/>
      </c>
      <c r="H52" s="30"/>
      <c r="I52" s="30"/>
      <c r="J52" s="20" t="str">
        <f aca="false">IF($A52="","",_xlfn.IFS(OR($W52="Yes",$H52="Complete"),"Completed",$H52="On Hold","On Hold",$G52&lt;0,"Overdue",$O52="Client","Waiting on Client",$G52&lt;=7,"At Risk",TRUE(),"On Track"))</f>
        <v/>
      </c>
      <c r="K52" s="20" t="str">
        <f aca="false">IF($A52="","",IFERROR(_xlfn.MAXIFS('Iteration Tracker'!$D$5:$D$124,'Iteration Tracker'!$A$5:$A$124,$A52),0))</f>
        <v/>
      </c>
      <c r="L52" s="30"/>
      <c r="M52" s="20" t="str">
        <f aca="false">IF($A52="","",$L52-$K52)</f>
        <v/>
      </c>
      <c r="N52" s="31"/>
      <c r="O52" s="30"/>
      <c r="P52" s="34"/>
      <c r="Q52" s="31"/>
      <c r="R52" s="20" t="str">
        <f aca="true">IF($A52="","",IF($N52="","",TODAY()-$N52))</f>
        <v/>
      </c>
      <c r="S52" s="30"/>
      <c r="T52" s="30"/>
      <c r="U52" s="30"/>
      <c r="V52" s="30"/>
      <c r="W52" s="30"/>
      <c r="X52" s="34"/>
      <c r="Z52" s="3" t="n">
        <f aca="false">IF($A52="",0,IF(AND($G52&lt;0,$J52&lt;&gt;"Completed",$J52&lt;&gt;"On Hold"),1,0))</f>
        <v>0</v>
      </c>
      <c r="AA52" s="3" t="n">
        <f aca="false">IF($A52="",0,IF(AND($G52&gt;=0,$G52&lt;=7,$J52&lt;&gt;"Completed",$J52&lt;&gt;"On Hold"),1,0))</f>
        <v>0</v>
      </c>
      <c r="AB52" s="3" t="n">
        <f aca="false">IF($A52="",0,IF(AND($O52="Us",$J52&lt;&gt;"Completed"),1,0))</f>
        <v>0</v>
      </c>
      <c r="AC52" s="3" t="n">
        <f aca="false">IF($A52="",0,IF(AND($H52="Awaiting Feedback",$R52&lt;&gt;"",$R52&gt;7),1,0))</f>
        <v>0</v>
      </c>
      <c r="AD52" s="3" t="n">
        <f aca="false">IF($A52="",0,IF(AND($M52&lt;&gt;"",$M52&lt;=1,$J52&lt;&gt;"Completed"),1,0))</f>
        <v>0</v>
      </c>
      <c r="AE52" s="3" t="n">
        <f aca="false">IFERROR(IF(AND($A52&lt;&gt;"",INDEX('Project Financials'!$AC$5:$AC$64,MATCH($A52,'Project Financials'!$A$5:$A$64,0))&lt;0.2,INDEX('Project Financials'!$D$5:$D$64,MATCH($A52,'Project Financials'!$A$5:$A$64,0))&gt;0),1,0),0)</f>
        <v>0</v>
      </c>
      <c r="AF52" s="3" t="n">
        <f aca="false">IFERROR(IF(OR(INDEX(Payments!$N$5:$N$64,MATCH($A52,Payments!$B$5:$B$64,0))="Overdue",INDEX(Payments!$N$5:$N$64,MATCH($A52,Payments!$B$5:$B$64,0))="Awaiting Deposit"),1,0),0)</f>
        <v>0</v>
      </c>
      <c r="AG52" s="3" t="n">
        <f aca="false">IF($A52="",0,IF(SUM(Z52:AF52)&gt;0,1,0))</f>
        <v>0</v>
      </c>
      <c r="AH52" s="3" t="str">
        <f aca="false">IF($AG52=0,"",LEFT((IF($Z52=1,"Overdue; ",""))&amp;(IF($AA52=1,"Deadline ≤ 7 days; ",""))&amp;(IF($AB52=1,"Action needed from us; ",""))&amp;(IF($AC52=1,"Client feedback overdue; ",""))&amp;(IF($AD52=1,"At iteration limit; ",""))&amp;(IF($AE52=1,"Low margin; ",""))&amp;(IF($AF52=1,"Unpaid invoice; ","")),LEN((IF($Z52=1,"Overdue; ",""))&amp;(IF($AA52=1,"Deadline ≤ 7 days; ",""))&amp;(IF($AB52=1,"Action needed from us; ",""))&amp;(IF($AC52=1,"Client feedback overdue; ",""))&amp;(IF($AD52=1,"At iteration limit; ",""))&amp;(IF($AE52=1,"Low margin; ",""))&amp;(IF($AF52=1,"Unpaid invoice; ","")))-2))</f>
        <v/>
      </c>
      <c r="AI52" s="3" t="str">
        <f aca="false">IF(AND($A52&lt;&gt;"",$J52&lt;&gt;"Completed",$J52&lt;&gt;"On Hold"),$F52*1000+(ROW()-ROW($A$5)+1),"")</f>
        <v/>
      </c>
      <c r="AJ52" s="3" t="str">
        <f aca="false">IF($AG52=1,ROW()-ROW($A$5)+1,"")</f>
        <v/>
      </c>
      <c r="AK52" s="35"/>
    </row>
    <row r="53" customFormat="false" ht="25.5" hidden="false" customHeight="true" outlineLevel="0" collapsed="false">
      <c r="A53" s="30"/>
      <c r="B53" s="30"/>
      <c r="C53" s="20" t="str">
        <f aca="false">IFERROR(INDEX(Clients!$B$5:$B$44,MATCH($B53,Clients!$A$5:$A$44,0)),"")</f>
        <v/>
      </c>
      <c r="D53" s="30"/>
      <c r="E53" s="31"/>
      <c r="F53" s="31"/>
      <c r="G53" s="20" t="str">
        <f aca="true">IF($A53="","",$F53-TODAY())</f>
        <v/>
      </c>
      <c r="H53" s="30"/>
      <c r="I53" s="30"/>
      <c r="J53" s="20" t="str">
        <f aca="false">IF($A53="","",_xlfn.IFS(OR($W53="Yes",$H53="Complete"),"Completed",$H53="On Hold","On Hold",$G53&lt;0,"Overdue",$O53="Client","Waiting on Client",$G53&lt;=7,"At Risk",TRUE(),"On Track"))</f>
        <v/>
      </c>
      <c r="K53" s="20" t="str">
        <f aca="false">IF($A53="","",IFERROR(_xlfn.MAXIFS('Iteration Tracker'!$D$5:$D$124,'Iteration Tracker'!$A$5:$A$124,$A53),0))</f>
        <v/>
      </c>
      <c r="L53" s="30"/>
      <c r="M53" s="20" t="str">
        <f aca="false">IF($A53="","",$L53-$K53)</f>
        <v/>
      </c>
      <c r="N53" s="31"/>
      <c r="O53" s="30"/>
      <c r="P53" s="34"/>
      <c r="Q53" s="31"/>
      <c r="R53" s="20" t="str">
        <f aca="true">IF($A53="","",IF($N53="","",TODAY()-$N53))</f>
        <v/>
      </c>
      <c r="S53" s="30"/>
      <c r="T53" s="30"/>
      <c r="U53" s="30"/>
      <c r="V53" s="30"/>
      <c r="W53" s="30"/>
      <c r="X53" s="34"/>
      <c r="Z53" s="3" t="n">
        <f aca="false">IF($A53="",0,IF(AND($G53&lt;0,$J53&lt;&gt;"Completed",$J53&lt;&gt;"On Hold"),1,0))</f>
        <v>0</v>
      </c>
      <c r="AA53" s="3" t="n">
        <f aca="false">IF($A53="",0,IF(AND($G53&gt;=0,$G53&lt;=7,$J53&lt;&gt;"Completed",$J53&lt;&gt;"On Hold"),1,0))</f>
        <v>0</v>
      </c>
      <c r="AB53" s="3" t="n">
        <f aca="false">IF($A53="",0,IF(AND($O53="Us",$J53&lt;&gt;"Completed"),1,0))</f>
        <v>0</v>
      </c>
      <c r="AC53" s="3" t="n">
        <f aca="false">IF($A53="",0,IF(AND($H53="Awaiting Feedback",$R53&lt;&gt;"",$R53&gt;7),1,0))</f>
        <v>0</v>
      </c>
      <c r="AD53" s="3" t="n">
        <f aca="false">IF($A53="",0,IF(AND($M53&lt;&gt;"",$M53&lt;=1,$J53&lt;&gt;"Completed"),1,0))</f>
        <v>0</v>
      </c>
      <c r="AE53" s="3" t="n">
        <f aca="false">IFERROR(IF(AND($A53&lt;&gt;"",INDEX('Project Financials'!$AC$5:$AC$64,MATCH($A53,'Project Financials'!$A$5:$A$64,0))&lt;0.2,INDEX('Project Financials'!$D$5:$D$64,MATCH($A53,'Project Financials'!$A$5:$A$64,0))&gt;0),1,0),0)</f>
        <v>0</v>
      </c>
      <c r="AF53" s="3" t="n">
        <f aca="false">IFERROR(IF(OR(INDEX(Payments!$N$5:$N$64,MATCH($A53,Payments!$B$5:$B$64,0))="Overdue",INDEX(Payments!$N$5:$N$64,MATCH($A53,Payments!$B$5:$B$64,0))="Awaiting Deposit"),1,0),0)</f>
        <v>0</v>
      </c>
      <c r="AG53" s="3" t="n">
        <f aca="false">IF($A53="",0,IF(SUM(Z53:AF53)&gt;0,1,0))</f>
        <v>0</v>
      </c>
      <c r="AH53" s="3" t="str">
        <f aca="false">IF($AG53=0,"",LEFT((IF($Z53=1,"Overdue; ",""))&amp;(IF($AA53=1,"Deadline ≤ 7 days; ",""))&amp;(IF($AB53=1,"Action needed from us; ",""))&amp;(IF($AC53=1,"Client feedback overdue; ",""))&amp;(IF($AD53=1,"At iteration limit; ",""))&amp;(IF($AE53=1,"Low margin; ",""))&amp;(IF($AF53=1,"Unpaid invoice; ","")),LEN((IF($Z53=1,"Overdue; ",""))&amp;(IF($AA53=1,"Deadline ≤ 7 days; ",""))&amp;(IF($AB53=1,"Action needed from us; ",""))&amp;(IF($AC53=1,"Client feedback overdue; ",""))&amp;(IF($AD53=1,"At iteration limit; ",""))&amp;(IF($AE53=1,"Low margin; ",""))&amp;(IF($AF53=1,"Unpaid invoice; ","")))-2))</f>
        <v/>
      </c>
      <c r="AI53" s="3" t="str">
        <f aca="false">IF(AND($A53&lt;&gt;"",$J53&lt;&gt;"Completed",$J53&lt;&gt;"On Hold"),$F53*1000+(ROW()-ROW($A$5)+1),"")</f>
        <v/>
      </c>
      <c r="AJ53" s="3" t="str">
        <f aca="false">IF($AG53=1,ROW()-ROW($A$5)+1,"")</f>
        <v/>
      </c>
      <c r="AK53" s="35"/>
    </row>
    <row r="54" customFormat="false" ht="25.5" hidden="false" customHeight="true" outlineLevel="0" collapsed="false">
      <c r="A54" s="30"/>
      <c r="B54" s="30"/>
      <c r="C54" s="20" t="str">
        <f aca="false">IFERROR(INDEX(Clients!$B$5:$B$44,MATCH($B54,Clients!$A$5:$A$44,0)),"")</f>
        <v/>
      </c>
      <c r="D54" s="30"/>
      <c r="E54" s="31"/>
      <c r="F54" s="31"/>
      <c r="G54" s="20" t="str">
        <f aca="true">IF($A54="","",$F54-TODAY())</f>
        <v/>
      </c>
      <c r="H54" s="30"/>
      <c r="I54" s="30"/>
      <c r="J54" s="20" t="str">
        <f aca="false">IF($A54="","",_xlfn.IFS(OR($W54="Yes",$H54="Complete"),"Completed",$H54="On Hold","On Hold",$G54&lt;0,"Overdue",$O54="Client","Waiting on Client",$G54&lt;=7,"At Risk",TRUE(),"On Track"))</f>
        <v/>
      </c>
      <c r="K54" s="20" t="str">
        <f aca="false">IF($A54="","",IFERROR(_xlfn.MAXIFS('Iteration Tracker'!$D$5:$D$124,'Iteration Tracker'!$A$5:$A$124,$A54),0))</f>
        <v/>
      </c>
      <c r="L54" s="30"/>
      <c r="M54" s="20" t="str">
        <f aca="false">IF($A54="","",$L54-$K54)</f>
        <v/>
      </c>
      <c r="N54" s="31"/>
      <c r="O54" s="30"/>
      <c r="P54" s="34"/>
      <c r="Q54" s="31"/>
      <c r="R54" s="20" t="str">
        <f aca="true">IF($A54="","",IF($N54="","",TODAY()-$N54))</f>
        <v/>
      </c>
      <c r="S54" s="30"/>
      <c r="T54" s="30"/>
      <c r="U54" s="30"/>
      <c r="V54" s="30"/>
      <c r="W54" s="30"/>
      <c r="X54" s="34"/>
      <c r="Z54" s="3" t="n">
        <f aca="false">IF($A54="",0,IF(AND($G54&lt;0,$J54&lt;&gt;"Completed",$J54&lt;&gt;"On Hold"),1,0))</f>
        <v>0</v>
      </c>
      <c r="AA54" s="3" t="n">
        <f aca="false">IF($A54="",0,IF(AND($G54&gt;=0,$G54&lt;=7,$J54&lt;&gt;"Completed",$J54&lt;&gt;"On Hold"),1,0))</f>
        <v>0</v>
      </c>
      <c r="AB54" s="3" t="n">
        <f aca="false">IF($A54="",0,IF(AND($O54="Us",$J54&lt;&gt;"Completed"),1,0))</f>
        <v>0</v>
      </c>
      <c r="AC54" s="3" t="n">
        <f aca="false">IF($A54="",0,IF(AND($H54="Awaiting Feedback",$R54&lt;&gt;"",$R54&gt;7),1,0))</f>
        <v>0</v>
      </c>
      <c r="AD54" s="3" t="n">
        <f aca="false">IF($A54="",0,IF(AND($M54&lt;&gt;"",$M54&lt;=1,$J54&lt;&gt;"Completed"),1,0))</f>
        <v>0</v>
      </c>
      <c r="AE54" s="3" t="n">
        <f aca="false">IFERROR(IF(AND($A54&lt;&gt;"",INDEX('Project Financials'!$AC$5:$AC$64,MATCH($A54,'Project Financials'!$A$5:$A$64,0))&lt;0.2,INDEX('Project Financials'!$D$5:$D$64,MATCH($A54,'Project Financials'!$A$5:$A$64,0))&gt;0),1,0),0)</f>
        <v>0</v>
      </c>
      <c r="AF54" s="3" t="n">
        <f aca="false">IFERROR(IF(OR(INDEX(Payments!$N$5:$N$64,MATCH($A54,Payments!$B$5:$B$64,0))="Overdue",INDEX(Payments!$N$5:$N$64,MATCH($A54,Payments!$B$5:$B$64,0))="Awaiting Deposit"),1,0),0)</f>
        <v>0</v>
      </c>
      <c r="AG54" s="3" t="n">
        <f aca="false">IF($A54="",0,IF(SUM(Z54:AF54)&gt;0,1,0))</f>
        <v>0</v>
      </c>
      <c r="AH54" s="3" t="str">
        <f aca="false">IF($AG54=0,"",LEFT((IF($Z54=1,"Overdue; ",""))&amp;(IF($AA54=1,"Deadline ≤ 7 days; ",""))&amp;(IF($AB54=1,"Action needed from us; ",""))&amp;(IF($AC54=1,"Client feedback overdue; ",""))&amp;(IF($AD54=1,"At iteration limit; ",""))&amp;(IF($AE54=1,"Low margin; ",""))&amp;(IF($AF54=1,"Unpaid invoice; ","")),LEN((IF($Z54=1,"Overdue; ",""))&amp;(IF($AA54=1,"Deadline ≤ 7 days; ",""))&amp;(IF($AB54=1,"Action needed from us; ",""))&amp;(IF($AC54=1,"Client feedback overdue; ",""))&amp;(IF($AD54=1,"At iteration limit; ",""))&amp;(IF($AE54=1,"Low margin; ",""))&amp;(IF($AF54=1,"Unpaid invoice; ","")))-2))</f>
        <v/>
      </c>
      <c r="AI54" s="3" t="str">
        <f aca="false">IF(AND($A54&lt;&gt;"",$J54&lt;&gt;"Completed",$J54&lt;&gt;"On Hold"),$F54*1000+(ROW()-ROW($A$5)+1),"")</f>
        <v/>
      </c>
      <c r="AJ54" s="3" t="str">
        <f aca="false">IF($AG54=1,ROW()-ROW($A$5)+1,"")</f>
        <v/>
      </c>
      <c r="AK54" s="35"/>
    </row>
    <row r="55" customFormat="false" ht="25.5" hidden="false" customHeight="true" outlineLevel="0" collapsed="false">
      <c r="A55" s="30"/>
      <c r="B55" s="30"/>
      <c r="C55" s="20" t="str">
        <f aca="false">IFERROR(INDEX(Clients!$B$5:$B$44,MATCH($B55,Clients!$A$5:$A$44,0)),"")</f>
        <v/>
      </c>
      <c r="D55" s="30"/>
      <c r="E55" s="31"/>
      <c r="F55" s="31"/>
      <c r="G55" s="20" t="str">
        <f aca="true">IF($A55="","",$F55-TODAY())</f>
        <v/>
      </c>
      <c r="H55" s="30"/>
      <c r="I55" s="30"/>
      <c r="J55" s="20" t="str">
        <f aca="false">IF($A55="","",_xlfn.IFS(OR($W55="Yes",$H55="Complete"),"Completed",$H55="On Hold","On Hold",$G55&lt;0,"Overdue",$O55="Client","Waiting on Client",$G55&lt;=7,"At Risk",TRUE(),"On Track"))</f>
        <v/>
      </c>
      <c r="K55" s="20" t="str">
        <f aca="false">IF($A55="","",IFERROR(_xlfn.MAXIFS('Iteration Tracker'!$D$5:$D$124,'Iteration Tracker'!$A$5:$A$124,$A55),0))</f>
        <v/>
      </c>
      <c r="L55" s="30"/>
      <c r="M55" s="20" t="str">
        <f aca="false">IF($A55="","",$L55-$K55)</f>
        <v/>
      </c>
      <c r="N55" s="31"/>
      <c r="O55" s="30"/>
      <c r="P55" s="34"/>
      <c r="Q55" s="31"/>
      <c r="R55" s="20" t="str">
        <f aca="true">IF($A55="","",IF($N55="","",TODAY()-$N55))</f>
        <v/>
      </c>
      <c r="S55" s="30"/>
      <c r="T55" s="30"/>
      <c r="U55" s="30"/>
      <c r="V55" s="30"/>
      <c r="W55" s="30"/>
      <c r="X55" s="34"/>
      <c r="Z55" s="3" t="n">
        <f aca="false">IF($A55="",0,IF(AND($G55&lt;0,$J55&lt;&gt;"Completed",$J55&lt;&gt;"On Hold"),1,0))</f>
        <v>0</v>
      </c>
      <c r="AA55" s="3" t="n">
        <f aca="false">IF($A55="",0,IF(AND($G55&gt;=0,$G55&lt;=7,$J55&lt;&gt;"Completed",$J55&lt;&gt;"On Hold"),1,0))</f>
        <v>0</v>
      </c>
      <c r="AB55" s="3" t="n">
        <f aca="false">IF($A55="",0,IF(AND($O55="Us",$J55&lt;&gt;"Completed"),1,0))</f>
        <v>0</v>
      </c>
      <c r="AC55" s="3" t="n">
        <f aca="false">IF($A55="",0,IF(AND($H55="Awaiting Feedback",$R55&lt;&gt;"",$R55&gt;7),1,0))</f>
        <v>0</v>
      </c>
      <c r="AD55" s="3" t="n">
        <f aca="false">IF($A55="",0,IF(AND($M55&lt;&gt;"",$M55&lt;=1,$J55&lt;&gt;"Completed"),1,0))</f>
        <v>0</v>
      </c>
      <c r="AE55" s="3" t="n">
        <f aca="false">IFERROR(IF(AND($A55&lt;&gt;"",INDEX('Project Financials'!$AC$5:$AC$64,MATCH($A55,'Project Financials'!$A$5:$A$64,0))&lt;0.2,INDEX('Project Financials'!$D$5:$D$64,MATCH($A55,'Project Financials'!$A$5:$A$64,0))&gt;0),1,0),0)</f>
        <v>0</v>
      </c>
      <c r="AF55" s="3" t="n">
        <f aca="false">IFERROR(IF(OR(INDEX(Payments!$N$5:$N$64,MATCH($A55,Payments!$B$5:$B$64,0))="Overdue",INDEX(Payments!$N$5:$N$64,MATCH($A55,Payments!$B$5:$B$64,0))="Awaiting Deposit"),1,0),0)</f>
        <v>0</v>
      </c>
      <c r="AG55" s="3" t="n">
        <f aca="false">IF($A55="",0,IF(SUM(Z55:AF55)&gt;0,1,0))</f>
        <v>0</v>
      </c>
      <c r="AH55" s="3" t="str">
        <f aca="false">IF($AG55=0,"",LEFT((IF($Z55=1,"Overdue; ",""))&amp;(IF($AA55=1,"Deadline ≤ 7 days; ",""))&amp;(IF($AB55=1,"Action needed from us; ",""))&amp;(IF($AC55=1,"Client feedback overdue; ",""))&amp;(IF($AD55=1,"At iteration limit; ",""))&amp;(IF($AE55=1,"Low margin; ",""))&amp;(IF($AF55=1,"Unpaid invoice; ","")),LEN((IF($Z55=1,"Overdue; ",""))&amp;(IF($AA55=1,"Deadline ≤ 7 days; ",""))&amp;(IF($AB55=1,"Action needed from us; ",""))&amp;(IF($AC55=1,"Client feedback overdue; ",""))&amp;(IF($AD55=1,"At iteration limit; ",""))&amp;(IF($AE55=1,"Low margin; ",""))&amp;(IF($AF55=1,"Unpaid invoice; ","")))-2))</f>
        <v/>
      </c>
      <c r="AI55" s="3" t="str">
        <f aca="false">IF(AND($A55&lt;&gt;"",$J55&lt;&gt;"Completed",$J55&lt;&gt;"On Hold"),$F55*1000+(ROW()-ROW($A$5)+1),"")</f>
        <v/>
      </c>
      <c r="AJ55" s="3" t="str">
        <f aca="false">IF($AG55=1,ROW()-ROW($A$5)+1,"")</f>
        <v/>
      </c>
      <c r="AK55" s="35"/>
    </row>
    <row r="56" customFormat="false" ht="25.5" hidden="false" customHeight="true" outlineLevel="0" collapsed="false">
      <c r="A56" s="30"/>
      <c r="B56" s="30"/>
      <c r="C56" s="20" t="str">
        <f aca="false">IFERROR(INDEX(Clients!$B$5:$B$44,MATCH($B56,Clients!$A$5:$A$44,0)),"")</f>
        <v/>
      </c>
      <c r="D56" s="30"/>
      <c r="E56" s="31"/>
      <c r="F56" s="31"/>
      <c r="G56" s="20" t="str">
        <f aca="true">IF($A56="","",$F56-TODAY())</f>
        <v/>
      </c>
      <c r="H56" s="30"/>
      <c r="I56" s="30"/>
      <c r="J56" s="20" t="str">
        <f aca="false">IF($A56="","",_xlfn.IFS(OR($W56="Yes",$H56="Complete"),"Completed",$H56="On Hold","On Hold",$G56&lt;0,"Overdue",$O56="Client","Waiting on Client",$G56&lt;=7,"At Risk",TRUE(),"On Track"))</f>
        <v/>
      </c>
      <c r="K56" s="20" t="str">
        <f aca="false">IF($A56="","",IFERROR(_xlfn.MAXIFS('Iteration Tracker'!$D$5:$D$124,'Iteration Tracker'!$A$5:$A$124,$A56),0))</f>
        <v/>
      </c>
      <c r="L56" s="30"/>
      <c r="M56" s="20" t="str">
        <f aca="false">IF($A56="","",$L56-$K56)</f>
        <v/>
      </c>
      <c r="N56" s="31"/>
      <c r="O56" s="30"/>
      <c r="P56" s="34"/>
      <c r="Q56" s="31"/>
      <c r="R56" s="20" t="str">
        <f aca="true">IF($A56="","",IF($N56="","",TODAY()-$N56))</f>
        <v/>
      </c>
      <c r="S56" s="30"/>
      <c r="T56" s="30"/>
      <c r="U56" s="30"/>
      <c r="V56" s="30"/>
      <c r="W56" s="30"/>
      <c r="X56" s="34"/>
      <c r="Z56" s="3" t="n">
        <f aca="false">IF($A56="",0,IF(AND($G56&lt;0,$J56&lt;&gt;"Completed",$J56&lt;&gt;"On Hold"),1,0))</f>
        <v>0</v>
      </c>
      <c r="AA56" s="3" t="n">
        <f aca="false">IF($A56="",0,IF(AND($G56&gt;=0,$G56&lt;=7,$J56&lt;&gt;"Completed",$J56&lt;&gt;"On Hold"),1,0))</f>
        <v>0</v>
      </c>
      <c r="AB56" s="3" t="n">
        <f aca="false">IF($A56="",0,IF(AND($O56="Us",$J56&lt;&gt;"Completed"),1,0))</f>
        <v>0</v>
      </c>
      <c r="AC56" s="3" t="n">
        <f aca="false">IF($A56="",0,IF(AND($H56="Awaiting Feedback",$R56&lt;&gt;"",$R56&gt;7),1,0))</f>
        <v>0</v>
      </c>
      <c r="AD56" s="3" t="n">
        <f aca="false">IF($A56="",0,IF(AND($M56&lt;&gt;"",$M56&lt;=1,$J56&lt;&gt;"Completed"),1,0))</f>
        <v>0</v>
      </c>
      <c r="AE56" s="3" t="n">
        <f aca="false">IFERROR(IF(AND($A56&lt;&gt;"",INDEX('Project Financials'!$AC$5:$AC$64,MATCH($A56,'Project Financials'!$A$5:$A$64,0))&lt;0.2,INDEX('Project Financials'!$D$5:$D$64,MATCH($A56,'Project Financials'!$A$5:$A$64,0))&gt;0),1,0),0)</f>
        <v>0</v>
      </c>
      <c r="AF56" s="3" t="n">
        <f aca="false">IFERROR(IF(OR(INDEX(Payments!$N$5:$N$64,MATCH($A56,Payments!$B$5:$B$64,0))="Overdue",INDEX(Payments!$N$5:$N$64,MATCH($A56,Payments!$B$5:$B$64,0))="Awaiting Deposit"),1,0),0)</f>
        <v>0</v>
      </c>
      <c r="AG56" s="3" t="n">
        <f aca="false">IF($A56="",0,IF(SUM(Z56:AF56)&gt;0,1,0))</f>
        <v>0</v>
      </c>
      <c r="AH56" s="3" t="str">
        <f aca="false">IF($AG56=0,"",LEFT((IF($Z56=1,"Overdue; ",""))&amp;(IF($AA56=1,"Deadline ≤ 7 days; ",""))&amp;(IF($AB56=1,"Action needed from us; ",""))&amp;(IF($AC56=1,"Client feedback overdue; ",""))&amp;(IF($AD56=1,"At iteration limit; ",""))&amp;(IF($AE56=1,"Low margin; ",""))&amp;(IF($AF56=1,"Unpaid invoice; ","")),LEN((IF($Z56=1,"Overdue; ",""))&amp;(IF($AA56=1,"Deadline ≤ 7 days; ",""))&amp;(IF($AB56=1,"Action needed from us; ",""))&amp;(IF($AC56=1,"Client feedback overdue; ",""))&amp;(IF($AD56=1,"At iteration limit; ",""))&amp;(IF($AE56=1,"Low margin; ",""))&amp;(IF($AF56=1,"Unpaid invoice; ","")))-2))</f>
        <v/>
      </c>
      <c r="AI56" s="3" t="str">
        <f aca="false">IF(AND($A56&lt;&gt;"",$J56&lt;&gt;"Completed",$J56&lt;&gt;"On Hold"),$F56*1000+(ROW()-ROW($A$5)+1),"")</f>
        <v/>
      </c>
      <c r="AJ56" s="3" t="str">
        <f aca="false">IF($AG56=1,ROW()-ROW($A$5)+1,"")</f>
        <v/>
      </c>
      <c r="AK56" s="35"/>
    </row>
    <row r="57" customFormat="false" ht="25.5" hidden="false" customHeight="true" outlineLevel="0" collapsed="false">
      <c r="A57" s="30"/>
      <c r="B57" s="30"/>
      <c r="C57" s="20" t="str">
        <f aca="false">IFERROR(INDEX(Clients!$B$5:$B$44,MATCH($B57,Clients!$A$5:$A$44,0)),"")</f>
        <v/>
      </c>
      <c r="D57" s="30"/>
      <c r="E57" s="31"/>
      <c r="F57" s="31"/>
      <c r="G57" s="20" t="str">
        <f aca="true">IF($A57="","",$F57-TODAY())</f>
        <v/>
      </c>
      <c r="H57" s="30"/>
      <c r="I57" s="30"/>
      <c r="J57" s="20" t="str">
        <f aca="false">IF($A57="","",_xlfn.IFS(OR($W57="Yes",$H57="Complete"),"Completed",$H57="On Hold","On Hold",$G57&lt;0,"Overdue",$O57="Client","Waiting on Client",$G57&lt;=7,"At Risk",TRUE(),"On Track"))</f>
        <v/>
      </c>
      <c r="K57" s="20" t="str">
        <f aca="false">IF($A57="","",IFERROR(_xlfn.MAXIFS('Iteration Tracker'!$D$5:$D$124,'Iteration Tracker'!$A$5:$A$124,$A57),0))</f>
        <v/>
      </c>
      <c r="L57" s="30"/>
      <c r="M57" s="20" t="str">
        <f aca="false">IF($A57="","",$L57-$K57)</f>
        <v/>
      </c>
      <c r="N57" s="31"/>
      <c r="O57" s="30"/>
      <c r="P57" s="34"/>
      <c r="Q57" s="31"/>
      <c r="R57" s="20" t="str">
        <f aca="true">IF($A57="","",IF($N57="","",TODAY()-$N57))</f>
        <v/>
      </c>
      <c r="S57" s="30"/>
      <c r="T57" s="30"/>
      <c r="U57" s="30"/>
      <c r="V57" s="30"/>
      <c r="W57" s="30"/>
      <c r="X57" s="34"/>
      <c r="Z57" s="3" t="n">
        <f aca="false">IF($A57="",0,IF(AND($G57&lt;0,$J57&lt;&gt;"Completed",$J57&lt;&gt;"On Hold"),1,0))</f>
        <v>0</v>
      </c>
      <c r="AA57" s="3" t="n">
        <f aca="false">IF($A57="",0,IF(AND($G57&gt;=0,$G57&lt;=7,$J57&lt;&gt;"Completed",$J57&lt;&gt;"On Hold"),1,0))</f>
        <v>0</v>
      </c>
      <c r="AB57" s="3" t="n">
        <f aca="false">IF($A57="",0,IF(AND($O57="Us",$J57&lt;&gt;"Completed"),1,0))</f>
        <v>0</v>
      </c>
      <c r="AC57" s="3" t="n">
        <f aca="false">IF($A57="",0,IF(AND($H57="Awaiting Feedback",$R57&lt;&gt;"",$R57&gt;7),1,0))</f>
        <v>0</v>
      </c>
      <c r="AD57" s="3" t="n">
        <f aca="false">IF($A57="",0,IF(AND($M57&lt;&gt;"",$M57&lt;=1,$J57&lt;&gt;"Completed"),1,0))</f>
        <v>0</v>
      </c>
      <c r="AE57" s="3" t="n">
        <f aca="false">IFERROR(IF(AND($A57&lt;&gt;"",INDEX('Project Financials'!$AC$5:$AC$64,MATCH($A57,'Project Financials'!$A$5:$A$64,0))&lt;0.2,INDEX('Project Financials'!$D$5:$D$64,MATCH($A57,'Project Financials'!$A$5:$A$64,0))&gt;0),1,0),0)</f>
        <v>0</v>
      </c>
      <c r="AF57" s="3" t="n">
        <f aca="false">IFERROR(IF(OR(INDEX(Payments!$N$5:$N$64,MATCH($A57,Payments!$B$5:$B$64,0))="Overdue",INDEX(Payments!$N$5:$N$64,MATCH($A57,Payments!$B$5:$B$64,0))="Awaiting Deposit"),1,0),0)</f>
        <v>0</v>
      </c>
      <c r="AG57" s="3" t="n">
        <f aca="false">IF($A57="",0,IF(SUM(Z57:AF57)&gt;0,1,0))</f>
        <v>0</v>
      </c>
      <c r="AH57" s="3" t="str">
        <f aca="false">IF($AG57=0,"",LEFT((IF($Z57=1,"Overdue; ",""))&amp;(IF($AA57=1,"Deadline ≤ 7 days; ",""))&amp;(IF($AB57=1,"Action needed from us; ",""))&amp;(IF($AC57=1,"Client feedback overdue; ",""))&amp;(IF($AD57=1,"At iteration limit; ",""))&amp;(IF($AE57=1,"Low margin; ",""))&amp;(IF($AF57=1,"Unpaid invoice; ","")),LEN((IF($Z57=1,"Overdue; ",""))&amp;(IF($AA57=1,"Deadline ≤ 7 days; ",""))&amp;(IF($AB57=1,"Action needed from us; ",""))&amp;(IF($AC57=1,"Client feedback overdue; ",""))&amp;(IF($AD57=1,"At iteration limit; ",""))&amp;(IF($AE57=1,"Low margin; ",""))&amp;(IF($AF57=1,"Unpaid invoice; ","")))-2))</f>
        <v/>
      </c>
      <c r="AI57" s="3" t="str">
        <f aca="false">IF(AND($A57&lt;&gt;"",$J57&lt;&gt;"Completed",$J57&lt;&gt;"On Hold"),$F57*1000+(ROW()-ROW($A$5)+1),"")</f>
        <v/>
      </c>
      <c r="AJ57" s="3" t="str">
        <f aca="false">IF($AG57=1,ROW()-ROW($A$5)+1,"")</f>
        <v/>
      </c>
      <c r="AK57" s="35"/>
    </row>
    <row r="58" customFormat="false" ht="25.5" hidden="false" customHeight="true" outlineLevel="0" collapsed="false">
      <c r="A58" s="30"/>
      <c r="B58" s="30"/>
      <c r="C58" s="20" t="str">
        <f aca="false">IFERROR(INDEX(Clients!$B$5:$B$44,MATCH($B58,Clients!$A$5:$A$44,0)),"")</f>
        <v/>
      </c>
      <c r="D58" s="30"/>
      <c r="E58" s="31"/>
      <c r="F58" s="31"/>
      <c r="G58" s="20" t="str">
        <f aca="true">IF($A58="","",$F58-TODAY())</f>
        <v/>
      </c>
      <c r="H58" s="30"/>
      <c r="I58" s="30"/>
      <c r="J58" s="20" t="str">
        <f aca="false">IF($A58="","",_xlfn.IFS(OR($W58="Yes",$H58="Complete"),"Completed",$H58="On Hold","On Hold",$G58&lt;0,"Overdue",$O58="Client","Waiting on Client",$G58&lt;=7,"At Risk",TRUE(),"On Track"))</f>
        <v/>
      </c>
      <c r="K58" s="20" t="str">
        <f aca="false">IF($A58="","",IFERROR(_xlfn.MAXIFS('Iteration Tracker'!$D$5:$D$124,'Iteration Tracker'!$A$5:$A$124,$A58),0))</f>
        <v/>
      </c>
      <c r="L58" s="30"/>
      <c r="M58" s="20" t="str">
        <f aca="false">IF($A58="","",$L58-$K58)</f>
        <v/>
      </c>
      <c r="N58" s="31"/>
      <c r="O58" s="30"/>
      <c r="P58" s="34"/>
      <c r="Q58" s="31"/>
      <c r="R58" s="20" t="str">
        <f aca="true">IF($A58="","",IF($N58="","",TODAY()-$N58))</f>
        <v/>
      </c>
      <c r="S58" s="30"/>
      <c r="T58" s="30"/>
      <c r="U58" s="30"/>
      <c r="V58" s="30"/>
      <c r="W58" s="30"/>
      <c r="X58" s="34"/>
      <c r="Z58" s="3" t="n">
        <f aca="false">IF($A58="",0,IF(AND($G58&lt;0,$J58&lt;&gt;"Completed",$J58&lt;&gt;"On Hold"),1,0))</f>
        <v>0</v>
      </c>
      <c r="AA58" s="3" t="n">
        <f aca="false">IF($A58="",0,IF(AND($G58&gt;=0,$G58&lt;=7,$J58&lt;&gt;"Completed",$J58&lt;&gt;"On Hold"),1,0))</f>
        <v>0</v>
      </c>
      <c r="AB58" s="3" t="n">
        <f aca="false">IF($A58="",0,IF(AND($O58="Us",$J58&lt;&gt;"Completed"),1,0))</f>
        <v>0</v>
      </c>
      <c r="AC58" s="3" t="n">
        <f aca="false">IF($A58="",0,IF(AND($H58="Awaiting Feedback",$R58&lt;&gt;"",$R58&gt;7),1,0))</f>
        <v>0</v>
      </c>
      <c r="AD58" s="3" t="n">
        <f aca="false">IF($A58="",0,IF(AND($M58&lt;&gt;"",$M58&lt;=1,$J58&lt;&gt;"Completed"),1,0))</f>
        <v>0</v>
      </c>
      <c r="AE58" s="3" t="n">
        <f aca="false">IFERROR(IF(AND($A58&lt;&gt;"",INDEX('Project Financials'!$AC$5:$AC$64,MATCH($A58,'Project Financials'!$A$5:$A$64,0))&lt;0.2,INDEX('Project Financials'!$D$5:$D$64,MATCH($A58,'Project Financials'!$A$5:$A$64,0))&gt;0),1,0),0)</f>
        <v>0</v>
      </c>
      <c r="AF58" s="3" t="n">
        <f aca="false">IFERROR(IF(OR(INDEX(Payments!$N$5:$N$64,MATCH($A58,Payments!$B$5:$B$64,0))="Overdue",INDEX(Payments!$N$5:$N$64,MATCH($A58,Payments!$B$5:$B$64,0))="Awaiting Deposit"),1,0),0)</f>
        <v>0</v>
      </c>
      <c r="AG58" s="3" t="n">
        <f aca="false">IF($A58="",0,IF(SUM(Z58:AF58)&gt;0,1,0))</f>
        <v>0</v>
      </c>
      <c r="AH58" s="3" t="str">
        <f aca="false">IF($AG58=0,"",LEFT((IF($Z58=1,"Overdue; ",""))&amp;(IF($AA58=1,"Deadline ≤ 7 days; ",""))&amp;(IF($AB58=1,"Action needed from us; ",""))&amp;(IF($AC58=1,"Client feedback overdue; ",""))&amp;(IF($AD58=1,"At iteration limit; ",""))&amp;(IF($AE58=1,"Low margin; ",""))&amp;(IF($AF58=1,"Unpaid invoice; ","")),LEN((IF($Z58=1,"Overdue; ",""))&amp;(IF($AA58=1,"Deadline ≤ 7 days; ",""))&amp;(IF($AB58=1,"Action needed from us; ",""))&amp;(IF($AC58=1,"Client feedback overdue; ",""))&amp;(IF($AD58=1,"At iteration limit; ",""))&amp;(IF($AE58=1,"Low margin; ",""))&amp;(IF($AF58=1,"Unpaid invoice; ","")))-2))</f>
        <v/>
      </c>
      <c r="AI58" s="3" t="str">
        <f aca="false">IF(AND($A58&lt;&gt;"",$J58&lt;&gt;"Completed",$J58&lt;&gt;"On Hold"),$F58*1000+(ROW()-ROW($A$5)+1),"")</f>
        <v/>
      </c>
      <c r="AJ58" s="3" t="str">
        <f aca="false">IF($AG58=1,ROW()-ROW($A$5)+1,"")</f>
        <v/>
      </c>
      <c r="AK58" s="35"/>
    </row>
    <row r="59" customFormat="false" ht="25.5" hidden="false" customHeight="true" outlineLevel="0" collapsed="false">
      <c r="A59" s="30"/>
      <c r="B59" s="30"/>
      <c r="C59" s="20" t="str">
        <f aca="false">IFERROR(INDEX(Clients!$B$5:$B$44,MATCH($B59,Clients!$A$5:$A$44,0)),"")</f>
        <v/>
      </c>
      <c r="D59" s="30"/>
      <c r="E59" s="31"/>
      <c r="F59" s="31"/>
      <c r="G59" s="20" t="str">
        <f aca="true">IF($A59="","",$F59-TODAY())</f>
        <v/>
      </c>
      <c r="H59" s="30"/>
      <c r="I59" s="30"/>
      <c r="J59" s="20" t="str">
        <f aca="false">IF($A59="","",_xlfn.IFS(OR($W59="Yes",$H59="Complete"),"Completed",$H59="On Hold","On Hold",$G59&lt;0,"Overdue",$O59="Client","Waiting on Client",$G59&lt;=7,"At Risk",TRUE(),"On Track"))</f>
        <v/>
      </c>
      <c r="K59" s="20" t="str">
        <f aca="false">IF($A59="","",IFERROR(_xlfn.MAXIFS('Iteration Tracker'!$D$5:$D$124,'Iteration Tracker'!$A$5:$A$124,$A59),0))</f>
        <v/>
      </c>
      <c r="L59" s="30"/>
      <c r="M59" s="20" t="str">
        <f aca="false">IF($A59="","",$L59-$K59)</f>
        <v/>
      </c>
      <c r="N59" s="31"/>
      <c r="O59" s="30"/>
      <c r="P59" s="34"/>
      <c r="Q59" s="31"/>
      <c r="R59" s="20" t="str">
        <f aca="true">IF($A59="","",IF($N59="","",TODAY()-$N59))</f>
        <v/>
      </c>
      <c r="S59" s="30"/>
      <c r="T59" s="30"/>
      <c r="U59" s="30"/>
      <c r="V59" s="30"/>
      <c r="W59" s="30"/>
      <c r="X59" s="34"/>
      <c r="Z59" s="3" t="n">
        <f aca="false">IF($A59="",0,IF(AND($G59&lt;0,$J59&lt;&gt;"Completed",$J59&lt;&gt;"On Hold"),1,0))</f>
        <v>0</v>
      </c>
      <c r="AA59" s="3" t="n">
        <f aca="false">IF($A59="",0,IF(AND($G59&gt;=0,$G59&lt;=7,$J59&lt;&gt;"Completed",$J59&lt;&gt;"On Hold"),1,0))</f>
        <v>0</v>
      </c>
      <c r="AB59" s="3" t="n">
        <f aca="false">IF($A59="",0,IF(AND($O59="Us",$J59&lt;&gt;"Completed"),1,0))</f>
        <v>0</v>
      </c>
      <c r="AC59" s="3" t="n">
        <f aca="false">IF($A59="",0,IF(AND($H59="Awaiting Feedback",$R59&lt;&gt;"",$R59&gt;7),1,0))</f>
        <v>0</v>
      </c>
      <c r="AD59" s="3" t="n">
        <f aca="false">IF($A59="",0,IF(AND($M59&lt;&gt;"",$M59&lt;=1,$J59&lt;&gt;"Completed"),1,0))</f>
        <v>0</v>
      </c>
      <c r="AE59" s="3" t="n">
        <f aca="false">IFERROR(IF(AND($A59&lt;&gt;"",INDEX('Project Financials'!$AC$5:$AC$64,MATCH($A59,'Project Financials'!$A$5:$A$64,0))&lt;0.2,INDEX('Project Financials'!$D$5:$D$64,MATCH($A59,'Project Financials'!$A$5:$A$64,0))&gt;0),1,0),0)</f>
        <v>0</v>
      </c>
      <c r="AF59" s="3" t="n">
        <f aca="false">IFERROR(IF(OR(INDEX(Payments!$N$5:$N$64,MATCH($A59,Payments!$B$5:$B$64,0))="Overdue",INDEX(Payments!$N$5:$N$64,MATCH($A59,Payments!$B$5:$B$64,0))="Awaiting Deposit"),1,0),0)</f>
        <v>0</v>
      </c>
      <c r="AG59" s="3" t="n">
        <f aca="false">IF($A59="",0,IF(SUM(Z59:AF59)&gt;0,1,0))</f>
        <v>0</v>
      </c>
      <c r="AH59" s="3" t="str">
        <f aca="false">IF($AG59=0,"",LEFT((IF($Z59=1,"Overdue; ",""))&amp;(IF($AA59=1,"Deadline ≤ 7 days; ",""))&amp;(IF($AB59=1,"Action needed from us; ",""))&amp;(IF($AC59=1,"Client feedback overdue; ",""))&amp;(IF($AD59=1,"At iteration limit; ",""))&amp;(IF($AE59=1,"Low margin; ",""))&amp;(IF($AF59=1,"Unpaid invoice; ","")),LEN((IF($Z59=1,"Overdue; ",""))&amp;(IF($AA59=1,"Deadline ≤ 7 days; ",""))&amp;(IF($AB59=1,"Action needed from us; ",""))&amp;(IF($AC59=1,"Client feedback overdue; ",""))&amp;(IF($AD59=1,"At iteration limit; ",""))&amp;(IF($AE59=1,"Low margin; ",""))&amp;(IF($AF59=1,"Unpaid invoice; ","")))-2))</f>
        <v/>
      </c>
      <c r="AI59" s="3" t="str">
        <f aca="false">IF(AND($A59&lt;&gt;"",$J59&lt;&gt;"Completed",$J59&lt;&gt;"On Hold"),$F59*1000+(ROW()-ROW($A$5)+1),"")</f>
        <v/>
      </c>
      <c r="AJ59" s="3" t="str">
        <f aca="false">IF($AG59=1,ROW()-ROW($A$5)+1,"")</f>
        <v/>
      </c>
      <c r="AK59" s="35"/>
    </row>
    <row r="60" customFormat="false" ht="25.5" hidden="false" customHeight="true" outlineLevel="0" collapsed="false">
      <c r="A60" s="30"/>
      <c r="B60" s="30"/>
      <c r="C60" s="20" t="str">
        <f aca="false">IFERROR(INDEX(Clients!$B$5:$B$44,MATCH($B60,Clients!$A$5:$A$44,0)),"")</f>
        <v/>
      </c>
      <c r="D60" s="30"/>
      <c r="E60" s="31"/>
      <c r="F60" s="31"/>
      <c r="G60" s="20" t="str">
        <f aca="true">IF($A60="","",$F60-TODAY())</f>
        <v/>
      </c>
      <c r="H60" s="30"/>
      <c r="I60" s="30"/>
      <c r="J60" s="20" t="str">
        <f aca="false">IF($A60="","",_xlfn.IFS(OR($W60="Yes",$H60="Complete"),"Completed",$H60="On Hold","On Hold",$G60&lt;0,"Overdue",$O60="Client","Waiting on Client",$G60&lt;=7,"At Risk",TRUE(),"On Track"))</f>
        <v/>
      </c>
      <c r="K60" s="20" t="str">
        <f aca="false">IF($A60="","",IFERROR(_xlfn.MAXIFS('Iteration Tracker'!$D$5:$D$124,'Iteration Tracker'!$A$5:$A$124,$A60),0))</f>
        <v/>
      </c>
      <c r="L60" s="30"/>
      <c r="M60" s="20" t="str">
        <f aca="false">IF($A60="","",$L60-$K60)</f>
        <v/>
      </c>
      <c r="N60" s="31"/>
      <c r="O60" s="30"/>
      <c r="P60" s="34"/>
      <c r="Q60" s="31"/>
      <c r="R60" s="20" t="str">
        <f aca="true">IF($A60="","",IF($N60="","",TODAY()-$N60))</f>
        <v/>
      </c>
      <c r="S60" s="30"/>
      <c r="T60" s="30"/>
      <c r="U60" s="30"/>
      <c r="V60" s="30"/>
      <c r="W60" s="30"/>
      <c r="X60" s="34"/>
      <c r="Z60" s="3" t="n">
        <f aca="false">IF($A60="",0,IF(AND($G60&lt;0,$J60&lt;&gt;"Completed",$J60&lt;&gt;"On Hold"),1,0))</f>
        <v>0</v>
      </c>
      <c r="AA60" s="3" t="n">
        <f aca="false">IF($A60="",0,IF(AND($G60&gt;=0,$G60&lt;=7,$J60&lt;&gt;"Completed",$J60&lt;&gt;"On Hold"),1,0))</f>
        <v>0</v>
      </c>
      <c r="AB60" s="3" t="n">
        <f aca="false">IF($A60="",0,IF(AND($O60="Us",$J60&lt;&gt;"Completed"),1,0))</f>
        <v>0</v>
      </c>
      <c r="AC60" s="3" t="n">
        <f aca="false">IF($A60="",0,IF(AND($H60="Awaiting Feedback",$R60&lt;&gt;"",$R60&gt;7),1,0))</f>
        <v>0</v>
      </c>
      <c r="AD60" s="3" t="n">
        <f aca="false">IF($A60="",0,IF(AND($M60&lt;&gt;"",$M60&lt;=1,$J60&lt;&gt;"Completed"),1,0))</f>
        <v>0</v>
      </c>
      <c r="AE60" s="3" t="n">
        <f aca="false">IFERROR(IF(AND($A60&lt;&gt;"",INDEX('Project Financials'!$AC$5:$AC$64,MATCH($A60,'Project Financials'!$A$5:$A$64,0))&lt;0.2,INDEX('Project Financials'!$D$5:$D$64,MATCH($A60,'Project Financials'!$A$5:$A$64,0))&gt;0),1,0),0)</f>
        <v>0</v>
      </c>
      <c r="AF60" s="3" t="n">
        <f aca="false">IFERROR(IF(OR(INDEX(Payments!$N$5:$N$64,MATCH($A60,Payments!$B$5:$B$64,0))="Overdue",INDEX(Payments!$N$5:$N$64,MATCH($A60,Payments!$B$5:$B$64,0))="Awaiting Deposit"),1,0),0)</f>
        <v>0</v>
      </c>
      <c r="AG60" s="3" t="n">
        <f aca="false">IF($A60="",0,IF(SUM(Z60:AF60)&gt;0,1,0))</f>
        <v>0</v>
      </c>
      <c r="AH60" s="3" t="str">
        <f aca="false">IF($AG60=0,"",LEFT((IF($Z60=1,"Overdue; ",""))&amp;(IF($AA60=1,"Deadline ≤ 7 days; ",""))&amp;(IF($AB60=1,"Action needed from us; ",""))&amp;(IF($AC60=1,"Client feedback overdue; ",""))&amp;(IF($AD60=1,"At iteration limit; ",""))&amp;(IF($AE60=1,"Low margin; ",""))&amp;(IF($AF60=1,"Unpaid invoice; ","")),LEN((IF($Z60=1,"Overdue; ",""))&amp;(IF($AA60=1,"Deadline ≤ 7 days; ",""))&amp;(IF($AB60=1,"Action needed from us; ",""))&amp;(IF($AC60=1,"Client feedback overdue; ",""))&amp;(IF($AD60=1,"At iteration limit; ",""))&amp;(IF($AE60=1,"Low margin; ",""))&amp;(IF($AF60=1,"Unpaid invoice; ","")))-2))</f>
        <v/>
      </c>
      <c r="AI60" s="3" t="str">
        <f aca="false">IF(AND($A60&lt;&gt;"",$J60&lt;&gt;"Completed",$J60&lt;&gt;"On Hold"),$F60*1000+(ROW()-ROW($A$5)+1),"")</f>
        <v/>
      </c>
      <c r="AJ60" s="3" t="str">
        <f aca="false">IF($AG60=1,ROW()-ROW($A$5)+1,"")</f>
        <v/>
      </c>
      <c r="AK60" s="35"/>
    </row>
    <row r="61" customFormat="false" ht="25.5" hidden="false" customHeight="true" outlineLevel="0" collapsed="false">
      <c r="A61" s="30"/>
      <c r="B61" s="30"/>
      <c r="C61" s="20" t="str">
        <f aca="false">IFERROR(INDEX(Clients!$B$5:$B$44,MATCH($B61,Clients!$A$5:$A$44,0)),"")</f>
        <v/>
      </c>
      <c r="D61" s="30"/>
      <c r="E61" s="31"/>
      <c r="F61" s="31"/>
      <c r="G61" s="20" t="str">
        <f aca="true">IF($A61="","",$F61-TODAY())</f>
        <v/>
      </c>
      <c r="H61" s="30"/>
      <c r="I61" s="30"/>
      <c r="J61" s="20" t="str">
        <f aca="false">IF($A61="","",_xlfn.IFS(OR($W61="Yes",$H61="Complete"),"Completed",$H61="On Hold","On Hold",$G61&lt;0,"Overdue",$O61="Client","Waiting on Client",$G61&lt;=7,"At Risk",TRUE(),"On Track"))</f>
        <v/>
      </c>
      <c r="K61" s="20" t="str">
        <f aca="false">IF($A61="","",IFERROR(_xlfn.MAXIFS('Iteration Tracker'!$D$5:$D$124,'Iteration Tracker'!$A$5:$A$124,$A61),0))</f>
        <v/>
      </c>
      <c r="L61" s="30"/>
      <c r="M61" s="20" t="str">
        <f aca="false">IF($A61="","",$L61-$K61)</f>
        <v/>
      </c>
      <c r="N61" s="31"/>
      <c r="O61" s="30"/>
      <c r="P61" s="34"/>
      <c r="Q61" s="31"/>
      <c r="R61" s="20" t="str">
        <f aca="true">IF($A61="","",IF($N61="","",TODAY()-$N61))</f>
        <v/>
      </c>
      <c r="S61" s="30"/>
      <c r="T61" s="30"/>
      <c r="U61" s="30"/>
      <c r="V61" s="30"/>
      <c r="W61" s="30"/>
      <c r="X61" s="34"/>
      <c r="Z61" s="3" t="n">
        <f aca="false">IF($A61="",0,IF(AND($G61&lt;0,$J61&lt;&gt;"Completed",$J61&lt;&gt;"On Hold"),1,0))</f>
        <v>0</v>
      </c>
      <c r="AA61" s="3" t="n">
        <f aca="false">IF($A61="",0,IF(AND($G61&gt;=0,$G61&lt;=7,$J61&lt;&gt;"Completed",$J61&lt;&gt;"On Hold"),1,0))</f>
        <v>0</v>
      </c>
      <c r="AB61" s="3" t="n">
        <f aca="false">IF($A61="",0,IF(AND($O61="Us",$J61&lt;&gt;"Completed"),1,0))</f>
        <v>0</v>
      </c>
      <c r="AC61" s="3" t="n">
        <f aca="false">IF($A61="",0,IF(AND($H61="Awaiting Feedback",$R61&lt;&gt;"",$R61&gt;7),1,0))</f>
        <v>0</v>
      </c>
      <c r="AD61" s="3" t="n">
        <f aca="false">IF($A61="",0,IF(AND($M61&lt;&gt;"",$M61&lt;=1,$J61&lt;&gt;"Completed"),1,0))</f>
        <v>0</v>
      </c>
      <c r="AE61" s="3" t="n">
        <f aca="false">IFERROR(IF(AND($A61&lt;&gt;"",INDEX('Project Financials'!$AC$5:$AC$64,MATCH($A61,'Project Financials'!$A$5:$A$64,0))&lt;0.2,INDEX('Project Financials'!$D$5:$D$64,MATCH($A61,'Project Financials'!$A$5:$A$64,0))&gt;0),1,0),0)</f>
        <v>0</v>
      </c>
      <c r="AF61" s="3" t="n">
        <f aca="false">IFERROR(IF(OR(INDEX(Payments!$N$5:$N$64,MATCH($A61,Payments!$B$5:$B$64,0))="Overdue",INDEX(Payments!$N$5:$N$64,MATCH($A61,Payments!$B$5:$B$64,0))="Awaiting Deposit"),1,0),0)</f>
        <v>0</v>
      </c>
      <c r="AG61" s="3" t="n">
        <f aca="false">IF($A61="",0,IF(SUM(Z61:AF61)&gt;0,1,0))</f>
        <v>0</v>
      </c>
      <c r="AH61" s="3" t="str">
        <f aca="false">IF($AG61=0,"",LEFT((IF($Z61=1,"Overdue; ",""))&amp;(IF($AA61=1,"Deadline ≤ 7 days; ",""))&amp;(IF($AB61=1,"Action needed from us; ",""))&amp;(IF($AC61=1,"Client feedback overdue; ",""))&amp;(IF($AD61=1,"At iteration limit; ",""))&amp;(IF($AE61=1,"Low margin; ",""))&amp;(IF($AF61=1,"Unpaid invoice; ","")),LEN((IF($Z61=1,"Overdue; ",""))&amp;(IF($AA61=1,"Deadline ≤ 7 days; ",""))&amp;(IF($AB61=1,"Action needed from us; ",""))&amp;(IF($AC61=1,"Client feedback overdue; ",""))&amp;(IF($AD61=1,"At iteration limit; ",""))&amp;(IF($AE61=1,"Low margin; ",""))&amp;(IF($AF61=1,"Unpaid invoice; ","")))-2))</f>
        <v/>
      </c>
      <c r="AI61" s="3" t="str">
        <f aca="false">IF(AND($A61&lt;&gt;"",$J61&lt;&gt;"Completed",$J61&lt;&gt;"On Hold"),$F61*1000+(ROW()-ROW($A$5)+1),"")</f>
        <v/>
      </c>
      <c r="AJ61" s="3" t="str">
        <f aca="false">IF($AG61=1,ROW()-ROW($A$5)+1,"")</f>
        <v/>
      </c>
      <c r="AK61" s="35"/>
    </row>
    <row r="62" customFormat="false" ht="25.5" hidden="false" customHeight="true" outlineLevel="0" collapsed="false">
      <c r="A62" s="30"/>
      <c r="B62" s="30"/>
      <c r="C62" s="20" t="str">
        <f aca="false">IFERROR(INDEX(Clients!$B$5:$B$44,MATCH($B62,Clients!$A$5:$A$44,0)),"")</f>
        <v/>
      </c>
      <c r="D62" s="30"/>
      <c r="E62" s="31"/>
      <c r="F62" s="31"/>
      <c r="G62" s="20" t="str">
        <f aca="true">IF($A62="","",$F62-TODAY())</f>
        <v/>
      </c>
      <c r="H62" s="30"/>
      <c r="I62" s="30"/>
      <c r="J62" s="20" t="str">
        <f aca="false">IF($A62="","",_xlfn.IFS(OR($W62="Yes",$H62="Complete"),"Completed",$H62="On Hold","On Hold",$G62&lt;0,"Overdue",$O62="Client","Waiting on Client",$G62&lt;=7,"At Risk",TRUE(),"On Track"))</f>
        <v/>
      </c>
      <c r="K62" s="20" t="str">
        <f aca="false">IF($A62="","",IFERROR(_xlfn.MAXIFS('Iteration Tracker'!$D$5:$D$124,'Iteration Tracker'!$A$5:$A$124,$A62),0))</f>
        <v/>
      </c>
      <c r="L62" s="30"/>
      <c r="M62" s="20" t="str">
        <f aca="false">IF($A62="","",$L62-$K62)</f>
        <v/>
      </c>
      <c r="N62" s="31"/>
      <c r="O62" s="30"/>
      <c r="P62" s="34"/>
      <c r="Q62" s="31"/>
      <c r="R62" s="20" t="str">
        <f aca="true">IF($A62="","",IF($N62="","",TODAY()-$N62))</f>
        <v/>
      </c>
      <c r="S62" s="30"/>
      <c r="T62" s="30"/>
      <c r="U62" s="30"/>
      <c r="V62" s="30"/>
      <c r="W62" s="30"/>
      <c r="X62" s="34"/>
      <c r="Z62" s="3" t="n">
        <f aca="false">IF($A62="",0,IF(AND($G62&lt;0,$J62&lt;&gt;"Completed",$J62&lt;&gt;"On Hold"),1,0))</f>
        <v>0</v>
      </c>
      <c r="AA62" s="3" t="n">
        <f aca="false">IF($A62="",0,IF(AND($G62&gt;=0,$G62&lt;=7,$J62&lt;&gt;"Completed",$J62&lt;&gt;"On Hold"),1,0))</f>
        <v>0</v>
      </c>
      <c r="AB62" s="3" t="n">
        <f aca="false">IF($A62="",0,IF(AND($O62="Us",$J62&lt;&gt;"Completed"),1,0))</f>
        <v>0</v>
      </c>
      <c r="AC62" s="3" t="n">
        <f aca="false">IF($A62="",0,IF(AND($H62="Awaiting Feedback",$R62&lt;&gt;"",$R62&gt;7),1,0))</f>
        <v>0</v>
      </c>
      <c r="AD62" s="3" t="n">
        <f aca="false">IF($A62="",0,IF(AND($M62&lt;&gt;"",$M62&lt;=1,$J62&lt;&gt;"Completed"),1,0))</f>
        <v>0</v>
      </c>
      <c r="AE62" s="3" t="n">
        <f aca="false">IFERROR(IF(AND($A62&lt;&gt;"",INDEX('Project Financials'!$AC$5:$AC$64,MATCH($A62,'Project Financials'!$A$5:$A$64,0))&lt;0.2,INDEX('Project Financials'!$D$5:$D$64,MATCH($A62,'Project Financials'!$A$5:$A$64,0))&gt;0),1,0),0)</f>
        <v>0</v>
      </c>
      <c r="AF62" s="3" t="n">
        <f aca="false">IFERROR(IF(OR(INDEX(Payments!$N$5:$N$64,MATCH($A62,Payments!$B$5:$B$64,0))="Overdue",INDEX(Payments!$N$5:$N$64,MATCH($A62,Payments!$B$5:$B$64,0))="Awaiting Deposit"),1,0),0)</f>
        <v>0</v>
      </c>
      <c r="AG62" s="3" t="n">
        <f aca="false">IF($A62="",0,IF(SUM(Z62:AF62)&gt;0,1,0))</f>
        <v>0</v>
      </c>
      <c r="AH62" s="3" t="str">
        <f aca="false">IF($AG62=0,"",LEFT((IF($Z62=1,"Overdue; ",""))&amp;(IF($AA62=1,"Deadline ≤ 7 days; ",""))&amp;(IF($AB62=1,"Action needed from us; ",""))&amp;(IF($AC62=1,"Client feedback overdue; ",""))&amp;(IF($AD62=1,"At iteration limit; ",""))&amp;(IF($AE62=1,"Low margin; ",""))&amp;(IF($AF62=1,"Unpaid invoice; ","")),LEN((IF($Z62=1,"Overdue; ",""))&amp;(IF($AA62=1,"Deadline ≤ 7 days; ",""))&amp;(IF($AB62=1,"Action needed from us; ",""))&amp;(IF($AC62=1,"Client feedback overdue; ",""))&amp;(IF($AD62=1,"At iteration limit; ",""))&amp;(IF($AE62=1,"Low margin; ",""))&amp;(IF($AF62=1,"Unpaid invoice; ","")))-2))</f>
        <v/>
      </c>
      <c r="AI62" s="3" t="str">
        <f aca="false">IF(AND($A62&lt;&gt;"",$J62&lt;&gt;"Completed",$J62&lt;&gt;"On Hold"),$F62*1000+(ROW()-ROW($A$5)+1),"")</f>
        <v/>
      </c>
      <c r="AJ62" s="3" t="str">
        <f aca="false">IF($AG62=1,ROW()-ROW($A$5)+1,"")</f>
        <v/>
      </c>
      <c r="AK62" s="35"/>
    </row>
    <row r="63" customFormat="false" ht="25.5" hidden="false" customHeight="true" outlineLevel="0" collapsed="false">
      <c r="A63" s="30"/>
      <c r="B63" s="30"/>
      <c r="C63" s="20" t="str">
        <f aca="false">IFERROR(INDEX(Clients!$B$5:$B$44,MATCH($B63,Clients!$A$5:$A$44,0)),"")</f>
        <v/>
      </c>
      <c r="D63" s="30"/>
      <c r="E63" s="31"/>
      <c r="F63" s="31"/>
      <c r="G63" s="20" t="str">
        <f aca="true">IF($A63="","",$F63-TODAY())</f>
        <v/>
      </c>
      <c r="H63" s="30"/>
      <c r="I63" s="30"/>
      <c r="J63" s="20" t="str">
        <f aca="false">IF($A63="","",_xlfn.IFS(OR($W63="Yes",$H63="Complete"),"Completed",$H63="On Hold","On Hold",$G63&lt;0,"Overdue",$O63="Client","Waiting on Client",$G63&lt;=7,"At Risk",TRUE(),"On Track"))</f>
        <v/>
      </c>
      <c r="K63" s="20" t="str">
        <f aca="false">IF($A63="","",IFERROR(_xlfn.MAXIFS('Iteration Tracker'!$D$5:$D$124,'Iteration Tracker'!$A$5:$A$124,$A63),0))</f>
        <v/>
      </c>
      <c r="L63" s="30"/>
      <c r="M63" s="20" t="str">
        <f aca="false">IF($A63="","",$L63-$K63)</f>
        <v/>
      </c>
      <c r="N63" s="31"/>
      <c r="O63" s="30"/>
      <c r="P63" s="34"/>
      <c r="Q63" s="31"/>
      <c r="R63" s="20" t="str">
        <f aca="true">IF($A63="","",IF($N63="","",TODAY()-$N63))</f>
        <v/>
      </c>
      <c r="S63" s="30"/>
      <c r="T63" s="30"/>
      <c r="U63" s="30"/>
      <c r="V63" s="30"/>
      <c r="W63" s="30"/>
      <c r="X63" s="34"/>
      <c r="Z63" s="3" t="n">
        <f aca="false">IF($A63="",0,IF(AND($G63&lt;0,$J63&lt;&gt;"Completed",$J63&lt;&gt;"On Hold"),1,0))</f>
        <v>0</v>
      </c>
      <c r="AA63" s="3" t="n">
        <f aca="false">IF($A63="",0,IF(AND($G63&gt;=0,$G63&lt;=7,$J63&lt;&gt;"Completed",$J63&lt;&gt;"On Hold"),1,0))</f>
        <v>0</v>
      </c>
      <c r="AB63" s="3" t="n">
        <f aca="false">IF($A63="",0,IF(AND($O63="Us",$J63&lt;&gt;"Completed"),1,0))</f>
        <v>0</v>
      </c>
      <c r="AC63" s="3" t="n">
        <f aca="false">IF($A63="",0,IF(AND($H63="Awaiting Feedback",$R63&lt;&gt;"",$R63&gt;7),1,0))</f>
        <v>0</v>
      </c>
      <c r="AD63" s="3" t="n">
        <f aca="false">IF($A63="",0,IF(AND($M63&lt;&gt;"",$M63&lt;=1,$J63&lt;&gt;"Completed"),1,0))</f>
        <v>0</v>
      </c>
      <c r="AE63" s="3" t="n">
        <f aca="false">IFERROR(IF(AND($A63&lt;&gt;"",INDEX('Project Financials'!$AC$5:$AC$64,MATCH($A63,'Project Financials'!$A$5:$A$64,0))&lt;0.2,INDEX('Project Financials'!$D$5:$D$64,MATCH($A63,'Project Financials'!$A$5:$A$64,0))&gt;0),1,0),0)</f>
        <v>0</v>
      </c>
      <c r="AF63" s="3" t="n">
        <f aca="false">IFERROR(IF(OR(INDEX(Payments!$N$5:$N$64,MATCH($A63,Payments!$B$5:$B$64,0))="Overdue",INDEX(Payments!$N$5:$N$64,MATCH($A63,Payments!$B$5:$B$64,0))="Awaiting Deposit"),1,0),0)</f>
        <v>0</v>
      </c>
      <c r="AG63" s="3" t="n">
        <f aca="false">IF($A63="",0,IF(SUM(Z63:AF63)&gt;0,1,0))</f>
        <v>0</v>
      </c>
      <c r="AH63" s="3" t="str">
        <f aca="false">IF($AG63=0,"",LEFT((IF($Z63=1,"Overdue; ",""))&amp;(IF($AA63=1,"Deadline ≤ 7 days; ",""))&amp;(IF($AB63=1,"Action needed from us; ",""))&amp;(IF($AC63=1,"Client feedback overdue; ",""))&amp;(IF($AD63=1,"At iteration limit; ",""))&amp;(IF($AE63=1,"Low margin; ",""))&amp;(IF($AF63=1,"Unpaid invoice; ","")),LEN((IF($Z63=1,"Overdue; ",""))&amp;(IF($AA63=1,"Deadline ≤ 7 days; ",""))&amp;(IF($AB63=1,"Action needed from us; ",""))&amp;(IF($AC63=1,"Client feedback overdue; ",""))&amp;(IF($AD63=1,"At iteration limit; ",""))&amp;(IF($AE63=1,"Low margin; ",""))&amp;(IF($AF63=1,"Unpaid invoice; ","")))-2))</f>
        <v/>
      </c>
      <c r="AI63" s="3" t="str">
        <f aca="false">IF(AND($A63&lt;&gt;"",$J63&lt;&gt;"Completed",$J63&lt;&gt;"On Hold"),$F63*1000+(ROW()-ROW($A$5)+1),"")</f>
        <v/>
      </c>
      <c r="AJ63" s="3" t="str">
        <f aca="false">IF($AG63=1,ROW()-ROW($A$5)+1,"")</f>
        <v/>
      </c>
      <c r="AK63" s="35"/>
    </row>
    <row r="64" customFormat="false" ht="25.5" hidden="false" customHeight="true" outlineLevel="0" collapsed="false">
      <c r="A64" s="30"/>
      <c r="B64" s="30"/>
      <c r="C64" s="20" t="str">
        <f aca="false">IFERROR(INDEX(Clients!$B$5:$B$44,MATCH($B64,Clients!$A$5:$A$44,0)),"")</f>
        <v/>
      </c>
      <c r="D64" s="30"/>
      <c r="E64" s="31"/>
      <c r="F64" s="31"/>
      <c r="G64" s="20" t="str">
        <f aca="true">IF($A64="","",$F64-TODAY())</f>
        <v/>
      </c>
      <c r="H64" s="30"/>
      <c r="I64" s="30"/>
      <c r="J64" s="20" t="str">
        <f aca="false">IF($A64="","",_xlfn.IFS(OR($W64="Yes",$H64="Complete"),"Completed",$H64="On Hold","On Hold",$G64&lt;0,"Overdue",$O64="Client","Waiting on Client",$G64&lt;=7,"At Risk",TRUE(),"On Track"))</f>
        <v/>
      </c>
      <c r="K64" s="20" t="str">
        <f aca="false">IF($A64="","",IFERROR(_xlfn.MAXIFS('Iteration Tracker'!$D$5:$D$124,'Iteration Tracker'!$A$5:$A$124,$A64),0))</f>
        <v/>
      </c>
      <c r="L64" s="30"/>
      <c r="M64" s="20" t="str">
        <f aca="false">IF($A64="","",$L64-$K64)</f>
        <v/>
      </c>
      <c r="N64" s="31"/>
      <c r="O64" s="30"/>
      <c r="P64" s="34"/>
      <c r="Q64" s="31"/>
      <c r="R64" s="20" t="str">
        <f aca="true">IF($A64="","",IF($N64="","",TODAY()-$N64))</f>
        <v/>
      </c>
      <c r="S64" s="30"/>
      <c r="T64" s="30"/>
      <c r="U64" s="30"/>
      <c r="V64" s="30"/>
      <c r="W64" s="30"/>
      <c r="X64" s="34"/>
      <c r="Z64" s="3" t="n">
        <f aca="false">IF($A64="",0,IF(AND($G64&lt;0,$J64&lt;&gt;"Completed",$J64&lt;&gt;"On Hold"),1,0))</f>
        <v>0</v>
      </c>
      <c r="AA64" s="3" t="n">
        <f aca="false">IF($A64="",0,IF(AND($G64&gt;=0,$G64&lt;=7,$J64&lt;&gt;"Completed",$J64&lt;&gt;"On Hold"),1,0))</f>
        <v>0</v>
      </c>
      <c r="AB64" s="3" t="n">
        <f aca="false">IF($A64="",0,IF(AND($O64="Us",$J64&lt;&gt;"Completed"),1,0))</f>
        <v>0</v>
      </c>
      <c r="AC64" s="3" t="n">
        <f aca="false">IF($A64="",0,IF(AND($H64="Awaiting Feedback",$R64&lt;&gt;"",$R64&gt;7),1,0))</f>
        <v>0</v>
      </c>
      <c r="AD64" s="3" t="n">
        <f aca="false">IF($A64="",0,IF(AND($M64&lt;&gt;"",$M64&lt;=1,$J64&lt;&gt;"Completed"),1,0))</f>
        <v>0</v>
      </c>
      <c r="AE64" s="3" t="n">
        <f aca="false">IFERROR(IF(AND($A64&lt;&gt;"",INDEX('Project Financials'!$AC$5:$AC$64,MATCH($A64,'Project Financials'!$A$5:$A$64,0))&lt;0.2,INDEX('Project Financials'!$D$5:$D$64,MATCH($A64,'Project Financials'!$A$5:$A$64,0))&gt;0),1,0),0)</f>
        <v>0</v>
      </c>
      <c r="AF64" s="3" t="n">
        <f aca="false">IFERROR(IF(OR(INDEX(Payments!$N$5:$N$64,MATCH($A64,Payments!$B$5:$B$64,0))="Overdue",INDEX(Payments!$N$5:$N$64,MATCH($A64,Payments!$B$5:$B$64,0))="Awaiting Deposit"),1,0),0)</f>
        <v>0</v>
      </c>
      <c r="AG64" s="3" t="n">
        <f aca="false">IF($A64="",0,IF(SUM(Z64:AF64)&gt;0,1,0))</f>
        <v>0</v>
      </c>
      <c r="AH64" s="3" t="str">
        <f aca="false">IF($AG64=0,"",LEFT((IF($Z64=1,"Overdue; ",""))&amp;(IF($AA64=1,"Deadline ≤ 7 days; ",""))&amp;(IF($AB64=1,"Action needed from us; ",""))&amp;(IF($AC64=1,"Client feedback overdue; ",""))&amp;(IF($AD64=1,"At iteration limit; ",""))&amp;(IF($AE64=1,"Low margin; ",""))&amp;(IF($AF64=1,"Unpaid invoice; ","")),LEN((IF($Z64=1,"Overdue; ",""))&amp;(IF($AA64=1,"Deadline ≤ 7 days; ",""))&amp;(IF($AB64=1,"Action needed from us; ",""))&amp;(IF($AC64=1,"Client feedback overdue; ",""))&amp;(IF($AD64=1,"At iteration limit; ",""))&amp;(IF($AE64=1,"Low margin; ",""))&amp;(IF($AF64=1,"Unpaid invoice; ","")))-2))</f>
        <v/>
      </c>
      <c r="AI64" s="3" t="str">
        <f aca="false">IF(AND($A64&lt;&gt;"",$J64&lt;&gt;"Completed",$J64&lt;&gt;"On Hold"),$F64*1000+(ROW()-ROW($A$5)+1),"")</f>
        <v/>
      </c>
      <c r="AJ64" s="3" t="str">
        <f aca="false">IF($AG64=1,ROW()-ROW($A$5)+1,"")</f>
        <v/>
      </c>
      <c r="AK64" s="35"/>
    </row>
  </sheetData>
  <sheetProtection sheet="true" formatCells="false" formatColumns="false" formatRows="false" insertRows="false" sort="false" autoFilter="false"/>
  <mergeCells count="5">
    <mergeCell ref="A1:AK1"/>
    <mergeCell ref="A2:AK2"/>
    <mergeCell ref="B3:C3"/>
    <mergeCell ref="F3:G3"/>
    <mergeCell ref="J3:K3"/>
  </mergeCells>
  <conditionalFormatting sqref="J5:J64">
    <cfRule type="expression" priority="2" aboveAverage="0" equalAverage="0" bottom="0" percent="0" rank="0" text="" dxfId="2">
      <formula>J5="Overdue"</formula>
    </cfRule>
    <cfRule type="expression" priority="3" aboveAverage="0" equalAverage="0" bottom="0" percent="0" rank="0" text="" dxfId="16">
      <formula>J5="At Risk"</formula>
    </cfRule>
    <cfRule type="expression" priority="4" aboveAverage="0" equalAverage="0" bottom="0" percent="0" rank="0" text="" dxfId="5">
      <formula>J5="On Track"</formula>
    </cfRule>
    <cfRule type="expression" priority="5" aboveAverage="0" equalAverage="0" bottom="0" percent="0" rank="0" text="" dxfId="5">
      <formula>J5="Completed"</formula>
    </cfRule>
    <cfRule type="expression" priority="6" aboveAverage="0" equalAverage="0" bottom="0" percent="0" rank="0" text="" dxfId="6">
      <formula>J5="Waiting on Client"</formula>
    </cfRule>
    <cfRule type="expression" priority="7" aboveAverage="0" equalAverage="0" bottom="0" percent="0" rank="0" text="" dxfId="6">
      <formula>J5="On Hold"</formula>
    </cfRule>
  </conditionalFormatting>
  <conditionalFormatting sqref="G5:G64">
    <cfRule type="cellIs" priority="8" operator="lessThan" aboveAverage="0" equalAverage="0" bottom="0" percent="0" rank="0" text="" dxfId="2">
      <formula>0</formula>
    </cfRule>
    <cfRule type="expression" priority="9" aboveAverage="0" equalAverage="0" bottom="0" percent="0" rank="0" text="" dxfId="3">
      <formula>AND(G5&gt;=0,G5&lt;=7)</formula>
    </cfRule>
  </conditionalFormatting>
  <conditionalFormatting sqref="R5:R64">
    <cfRule type="expression" priority="10" aboveAverage="0" equalAverage="0" bottom="0" percent="0" rank="0" text="" dxfId="2">
      <formula>AND(R5&lt;&gt;"",R5&gt;14)</formula>
    </cfRule>
    <cfRule type="expression" priority="11" aboveAverage="0" equalAverage="0" bottom="0" percent="0" rank="0" text="" dxfId="3">
      <formula>AND(R5&gt;7,R5&lt;=14)</formula>
    </cfRule>
  </conditionalFormatting>
  <conditionalFormatting sqref="M5:M64">
    <cfRule type="cellIs" priority="12" operator="lessThanOrEqual" aboveAverage="0" equalAverage="0" bottom="0" percent="0" rank="0" text="" dxfId="2">
      <formula>0</formula>
    </cfRule>
    <cfRule type="cellIs" priority="13" operator="equal" aboveAverage="0" equalAverage="0" bottom="0" percent="0" rank="0" text="" dxfId="3">
      <formula>1</formula>
    </cfRule>
  </conditionalFormatting>
  <dataValidations count="10">
    <dataValidation allowBlank="true" error="Please choose a value from the dropdown list." errorStyle="stop" errorTitle="Invalid entry" operator="between" showDropDown="false" showErrorMessage="true" showInputMessage="false" sqref="B5:B64" type="list">
      <formula1>Clients!$A$5:$A$44</formula1>
      <formula2>0</formula2>
    </dataValidation>
    <dataValidation allowBlank="true" error="Please choose a value from the dropdown list." errorStyle="stop" errorTitle="Invalid entry" operator="between" showDropDown="false" showErrorMessage="true" showInputMessage="false" sqref="H5:H64" type="list">
      <formula1>Lists!$H$2:$H$15</formula1>
      <formula2>0</formula2>
    </dataValidation>
    <dataValidation allowBlank="true" error="Please choose a value from the dropdown list." errorStyle="stop" errorTitle="Invalid entry" operator="between" showDropDown="false" showErrorMessage="true" showInputMessage="false" sqref="I5:I64" type="list">
      <formula1>Lists!$I$2:$I$5</formula1>
      <formula2>0</formula2>
    </dataValidation>
    <dataValidation allowBlank="true" error="Please choose a value from the dropdown list." errorStyle="stop" errorTitle="Invalid entry" operator="between" showDropDown="false" showErrorMessage="true" showInputMessage="false" sqref="O5:O64" type="list">
      <formula1>Lists!$J$2:$J$5</formula1>
      <formula2>0</formula2>
    </dataValidation>
    <dataValidation allowBlank="true" error="Please choose a value from the dropdown list." errorStyle="stop" errorTitle="Invalid entry" operator="between" showDropDown="false" showErrorMessage="true" showInputMessage="false" sqref="S5:S64" type="list">
      <formula1>Lists!$F$2:$F$3</formula1>
      <formula2>0</formula2>
    </dataValidation>
    <dataValidation allowBlank="true" error="Please choose a value from the dropdown list." errorStyle="stop" errorTitle="Invalid entry" operator="between" showDropDown="false" showErrorMessage="true" showInputMessage="false" sqref="T5:T64" type="list">
      <formula1>Lists!$F$2:$F$3</formula1>
      <formula2>0</formula2>
    </dataValidation>
    <dataValidation allowBlank="true" error="Please choose a value from the dropdown list." errorStyle="stop" errorTitle="Invalid entry" operator="between" showDropDown="false" showErrorMessage="true" showInputMessage="false" sqref="U5:U64" type="list">
      <formula1>Lists!$F$2:$F$3</formula1>
      <formula2>0</formula2>
    </dataValidation>
    <dataValidation allowBlank="true" error="Please choose a value from the dropdown list." errorStyle="stop" errorTitle="Invalid entry" operator="between" showDropDown="false" showErrorMessage="true" showInputMessage="false" sqref="V5:V64" type="list">
      <formula1>Lists!$F$2:$F$3</formula1>
      <formula2>0</formula2>
    </dataValidation>
    <dataValidation allowBlank="true" error="Please choose a value from the dropdown list." errorStyle="stop" errorTitle="Invalid entry" operator="between" showDropDown="false" showErrorMessage="true" showInputMessage="false" sqref="W5:W64" type="list">
      <formula1>Lists!$F$2:$F$3</formula1>
      <formula2>0</formula2>
    </dataValidation>
    <dataValidation allowBlank="true" error="Please choose a value from the dropdown list." errorStyle="stop" errorTitle="Invalid entry" operator="between" showDropDown="false" showErrorMessage="true" showInputMessage="false" sqref="AK5:AK64" type="list">
      <formula1>Lists!$K$2:$K$5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R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5"/>
    <col collapsed="false" customWidth="true" hidden="false" outlineLevel="0" max="3" min="3" style="3" width="22"/>
    <col collapsed="false" customWidth="true" hidden="false" outlineLevel="0" max="7" min="4" style="3" width="30"/>
    <col collapsed="false" customWidth="true" hidden="false" outlineLevel="0" max="10" min="8" style="3" width="15"/>
    <col collapsed="false" customWidth="true" hidden="false" outlineLevel="0" max="25" min="11" style="3" width="30"/>
    <col collapsed="false" customWidth="true" hidden="false" outlineLevel="0" max="29" min="26" style="3" width="15"/>
    <col collapsed="false" customWidth="true" hidden="false" outlineLevel="0" max="30" min="30" style="3" width="30"/>
    <col collapsed="false" customWidth="true" hidden="false" outlineLevel="0" max="31" min="31" style="3" width="15"/>
    <col collapsed="false" customWidth="true" hidden="false" outlineLevel="0" max="43" min="32" style="3" width="30"/>
  </cols>
  <sheetData>
    <row r="1" customFormat="false" ht="33.75" hidden="false" customHeight="true" outlineLevel="0" collapsed="false">
      <c r="A1" s="4" t="s">
        <v>235</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row>
    <row r="2" customFormat="false" ht="19.5" hidden="false" customHeight="true" outlineLevel="0" collapsed="false">
      <c r="A2" s="25" t="s">
        <v>236</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50</v>
      </c>
      <c r="C4" s="17" t="s">
        <v>157</v>
      </c>
      <c r="D4" s="17" t="s">
        <v>237</v>
      </c>
      <c r="E4" s="17" t="s">
        <v>238</v>
      </c>
      <c r="F4" s="17" t="s">
        <v>239</v>
      </c>
      <c r="G4" s="17" t="s">
        <v>240</v>
      </c>
      <c r="H4" s="17" t="s">
        <v>241</v>
      </c>
      <c r="I4" s="17" t="s">
        <v>242</v>
      </c>
      <c r="J4" s="17" t="s">
        <v>243</v>
      </c>
      <c r="K4" s="17" t="s">
        <v>244</v>
      </c>
      <c r="L4" s="17" t="s">
        <v>245</v>
      </c>
      <c r="M4" s="17" t="s">
        <v>246</v>
      </c>
      <c r="N4" s="17" t="s">
        <v>247</v>
      </c>
      <c r="O4" s="17" t="s">
        <v>248</v>
      </c>
      <c r="P4" s="17" t="s">
        <v>249</v>
      </c>
      <c r="Q4" s="17" t="s">
        <v>250</v>
      </c>
      <c r="R4" s="17" t="s">
        <v>251</v>
      </c>
      <c r="S4" s="17" t="s">
        <v>252</v>
      </c>
      <c r="T4" s="17" t="s">
        <v>253</v>
      </c>
      <c r="U4" s="17" t="s">
        <v>254</v>
      </c>
      <c r="V4" s="17" t="s">
        <v>255</v>
      </c>
      <c r="W4" s="17" t="s">
        <v>256</v>
      </c>
      <c r="X4" s="17" t="s">
        <v>257</v>
      </c>
      <c r="Y4" s="17" t="s">
        <v>258</v>
      </c>
      <c r="Z4" s="17" t="s">
        <v>259</v>
      </c>
      <c r="AA4" s="17" t="s">
        <v>260</v>
      </c>
      <c r="AB4" s="17" t="s">
        <v>261</v>
      </c>
      <c r="AC4" s="17" t="s">
        <v>15</v>
      </c>
      <c r="AD4" s="17" t="s">
        <v>16</v>
      </c>
      <c r="AE4" s="17" t="s">
        <v>262</v>
      </c>
      <c r="AF4" s="17" t="s">
        <v>263</v>
      </c>
      <c r="AG4" s="17" t="s">
        <v>264</v>
      </c>
      <c r="AH4" s="17" t="s">
        <v>265</v>
      </c>
      <c r="AI4" s="17" t="s">
        <v>266</v>
      </c>
      <c r="AJ4" s="17" t="s">
        <v>267</v>
      </c>
      <c r="AK4" s="17" t="s">
        <v>268</v>
      </c>
      <c r="AL4" s="17" t="s">
        <v>269</v>
      </c>
      <c r="AM4" s="17" t="s">
        <v>270</v>
      </c>
      <c r="AN4" s="17" t="s">
        <v>271</v>
      </c>
      <c r="AO4" s="17" t="s">
        <v>272</v>
      </c>
      <c r="AP4" s="17" t="s">
        <v>273</v>
      </c>
      <c r="AQ4" s="17" t="s">
        <v>274</v>
      </c>
      <c r="AR4" s="17" t="s">
        <v>275</v>
      </c>
    </row>
    <row r="5" customFormat="false" ht="60" hidden="false" customHeight="true" outlineLevel="0" collapsed="false">
      <c r="A5" s="34"/>
      <c r="B5" s="19" t="str">
        <f aca="false">IF($A5="","",IFERROR(INDEX('Fragrance Projects'!$C$5:$C$64,MATCH($A5,'Fragrance Projects'!$A$5:$A$64,0)),""))</f>
        <v/>
      </c>
      <c r="C5" s="19" t="str">
        <f aca="false">IF($A5="","",IFERROR(INDEX('Fragrance Projects'!$D$5:$D$64,MATCH($A5,'Fragrance Projects'!$A$5:$A$64,0)),""))</f>
        <v/>
      </c>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6"/>
      <c r="AH5" s="36"/>
      <c r="AI5" s="36"/>
      <c r="AJ5" s="36"/>
      <c r="AK5" s="36"/>
      <c r="AL5" s="36"/>
      <c r="AM5" s="36"/>
      <c r="AN5" s="36"/>
      <c r="AO5" s="36"/>
      <c r="AP5" s="36"/>
      <c r="AQ5" s="36"/>
    </row>
    <row r="6" customFormat="false" ht="60" hidden="false" customHeight="true" outlineLevel="0" collapsed="false">
      <c r="A6" s="34"/>
      <c r="B6" s="19" t="str">
        <f aca="false">IF($A6="","",IFERROR(INDEX('Fragrance Projects'!$C$5:$C$64,MATCH($A6,'Fragrance Projects'!$A$5:$A$64,0)),""))</f>
        <v/>
      </c>
      <c r="C6" s="19" t="str">
        <f aca="false">IF($A6="","",IFERROR(INDEX('Fragrance Projects'!$D$5:$D$64,MATCH($A6,'Fragrance Projects'!$A$5:$A$64,0)),""))</f>
        <v/>
      </c>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6"/>
      <c r="AH6" s="36"/>
      <c r="AI6" s="36"/>
      <c r="AJ6" s="36"/>
      <c r="AK6" s="36"/>
      <c r="AL6" s="36"/>
      <c r="AM6" s="36"/>
      <c r="AN6" s="36"/>
      <c r="AO6" s="36"/>
      <c r="AP6" s="36"/>
      <c r="AQ6" s="36"/>
    </row>
    <row r="7" customFormat="false" ht="60" hidden="false" customHeight="true" outlineLevel="0" collapsed="false">
      <c r="A7" s="34"/>
      <c r="B7" s="19" t="str">
        <f aca="false">IF($A7="","",IFERROR(INDEX('Fragrance Projects'!$C$5:$C$64,MATCH($A7,'Fragrance Projects'!$A$5:$A$64,0)),""))</f>
        <v/>
      </c>
      <c r="C7" s="19" t="str">
        <f aca="false">IF($A7="","",IFERROR(INDEX('Fragrance Projects'!$D$5:$D$64,MATCH($A7,'Fragrance Projects'!$A$5:$A$64,0)),""))</f>
        <v/>
      </c>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6"/>
      <c r="AH7" s="36"/>
      <c r="AI7" s="36"/>
      <c r="AJ7" s="36"/>
      <c r="AK7" s="36"/>
      <c r="AL7" s="36"/>
      <c r="AM7" s="36"/>
      <c r="AN7" s="36"/>
      <c r="AO7" s="36"/>
      <c r="AP7" s="36"/>
      <c r="AQ7" s="36"/>
    </row>
    <row r="8" customFormat="false" ht="60" hidden="false" customHeight="true" outlineLevel="0" collapsed="false">
      <c r="A8" s="34"/>
      <c r="B8" s="19" t="str">
        <f aca="false">IF($A8="","",IFERROR(INDEX('Fragrance Projects'!$C$5:$C$64,MATCH($A8,'Fragrance Projects'!$A$5:$A$64,0)),""))</f>
        <v/>
      </c>
      <c r="C8" s="19" t="str">
        <f aca="false">IF($A8="","",IFERROR(INDEX('Fragrance Projects'!$D$5:$D$64,MATCH($A8,'Fragrance Projects'!$A$5:$A$64,0)),""))</f>
        <v/>
      </c>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6"/>
      <c r="AH8" s="36"/>
      <c r="AI8" s="36"/>
      <c r="AJ8" s="36"/>
      <c r="AK8" s="36"/>
      <c r="AL8" s="36"/>
      <c r="AM8" s="36"/>
      <c r="AN8" s="36"/>
      <c r="AO8" s="36"/>
      <c r="AP8" s="36"/>
      <c r="AQ8" s="36"/>
    </row>
    <row r="9" customFormat="false" ht="60" hidden="false" customHeight="true" outlineLevel="0" collapsed="false">
      <c r="A9" s="34"/>
      <c r="B9" s="19" t="str">
        <f aca="false">IF($A9="","",IFERROR(INDEX('Fragrance Projects'!$C$5:$C$64,MATCH($A9,'Fragrance Projects'!$A$5:$A$64,0)),""))</f>
        <v/>
      </c>
      <c r="C9" s="19" t="str">
        <f aca="false">IF($A9="","",IFERROR(INDEX('Fragrance Projects'!$D$5:$D$64,MATCH($A9,'Fragrance Projects'!$A$5:$A$64,0)),""))</f>
        <v/>
      </c>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6"/>
      <c r="AH9" s="36"/>
      <c r="AI9" s="36"/>
      <c r="AJ9" s="36"/>
      <c r="AK9" s="36"/>
      <c r="AL9" s="36"/>
      <c r="AM9" s="36"/>
      <c r="AN9" s="36"/>
      <c r="AO9" s="36"/>
      <c r="AP9" s="36"/>
      <c r="AQ9" s="36"/>
    </row>
    <row r="10" customFormat="false" ht="60" hidden="false" customHeight="true" outlineLevel="0" collapsed="false">
      <c r="A10" s="34"/>
      <c r="B10" s="19" t="str">
        <f aca="false">IF($A10="","",IFERROR(INDEX('Fragrance Projects'!$C$5:$C$64,MATCH($A10,'Fragrance Projects'!$A$5:$A$64,0)),""))</f>
        <v/>
      </c>
      <c r="C10" s="19" t="str">
        <f aca="false">IF($A10="","",IFERROR(INDEX('Fragrance Projects'!$D$5:$D$64,MATCH($A10,'Fragrance Projects'!$A$5:$A$64,0)),""))</f>
        <v/>
      </c>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6"/>
      <c r="AH10" s="36"/>
      <c r="AI10" s="36"/>
      <c r="AJ10" s="36"/>
      <c r="AK10" s="36"/>
      <c r="AL10" s="36"/>
      <c r="AM10" s="36"/>
      <c r="AN10" s="36"/>
      <c r="AO10" s="36"/>
      <c r="AP10" s="36"/>
      <c r="AQ10" s="36"/>
    </row>
    <row r="11" customFormat="false" ht="60" hidden="false" customHeight="true" outlineLevel="0" collapsed="false">
      <c r="A11" s="34"/>
      <c r="B11" s="19" t="str">
        <f aca="false">IF($A11="","",IFERROR(INDEX('Fragrance Projects'!$C$5:$C$64,MATCH($A11,'Fragrance Projects'!$A$5:$A$64,0)),""))</f>
        <v/>
      </c>
      <c r="C11" s="19" t="str">
        <f aca="false">IF($A11="","",IFERROR(INDEX('Fragrance Projects'!$D$5:$D$64,MATCH($A11,'Fragrance Projects'!$A$5:$A$64,0)),""))</f>
        <v/>
      </c>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6"/>
      <c r="AH11" s="36"/>
      <c r="AI11" s="36"/>
      <c r="AJ11" s="36"/>
      <c r="AK11" s="36"/>
      <c r="AL11" s="36"/>
      <c r="AM11" s="36"/>
      <c r="AN11" s="36"/>
      <c r="AO11" s="36"/>
      <c r="AP11" s="36"/>
      <c r="AQ11" s="36"/>
    </row>
    <row r="12" customFormat="false" ht="60" hidden="false" customHeight="true" outlineLevel="0" collapsed="false">
      <c r="A12" s="34"/>
      <c r="B12" s="19" t="str">
        <f aca="false">IF($A12="","",IFERROR(INDEX('Fragrance Projects'!$C$5:$C$64,MATCH($A12,'Fragrance Projects'!$A$5:$A$64,0)),""))</f>
        <v/>
      </c>
      <c r="C12" s="19" t="str">
        <f aca="false">IF($A12="","",IFERROR(INDEX('Fragrance Projects'!$D$5:$D$64,MATCH($A12,'Fragrance Projects'!$A$5:$A$64,0)),""))</f>
        <v/>
      </c>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6"/>
      <c r="AH12" s="36"/>
      <c r="AI12" s="36"/>
      <c r="AJ12" s="36"/>
      <c r="AK12" s="36"/>
      <c r="AL12" s="36"/>
      <c r="AM12" s="36"/>
      <c r="AN12" s="36"/>
      <c r="AO12" s="36"/>
      <c r="AP12" s="36"/>
      <c r="AQ12" s="36"/>
    </row>
    <row r="13" customFormat="false" ht="60" hidden="false" customHeight="true" outlineLevel="0" collapsed="false">
      <c r="A13" s="34"/>
      <c r="B13" s="19" t="str">
        <f aca="false">IF($A13="","",IFERROR(INDEX('Fragrance Projects'!$C$5:$C$64,MATCH($A13,'Fragrance Projects'!$A$5:$A$64,0)),""))</f>
        <v/>
      </c>
      <c r="C13" s="19" t="str">
        <f aca="false">IF($A13="","",IFERROR(INDEX('Fragrance Projects'!$D$5:$D$64,MATCH($A13,'Fragrance Projects'!$A$5:$A$64,0)),""))</f>
        <v/>
      </c>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6"/>
      <c r="AH13" s="36"/>
      <c r="AI13" s="36"/>
      <c r="AJ13" s="36"/>
      <c r="AK13" s="36"/>
      <c r="AL13" s="36"/>
      <c r="AM13" s="36"/>
      <c r="AN13" s="36"/>
      <c r="AO13" s="36"/>
      <c r="AP13" s="36"/>
      <c r="AQ13" s="36"/>
    </row>
    <row r="14" customFormat="false" ht="60" hidden="false" customHeight="true" outlineLevel="0" collapsed="false">
      <c r="A14" s="34"/>
      <c r="B14" s="19" t="str">
        <f aca="false">IF($A14="","",IFERROR(INDEX('Fragrance Projects'!$C$5:$C$64,MATCH($A14,'Fragrance Projects'!$A$5:$A$64,0)),""))</f>
        <v/>
      </c>
      <c r="C14" s="19" t="str">
        <f aca="false">IF($A14="","",IFERROR(INDEX('Fragrance Projects'!$D$5:$D$64,MATCH($A14,'Fragrance Projects'!$A$5:$A$64,0)),""))</f>
        <v/>
      </c>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6"/>
      <c r="AH14" s="36"/>
      <c r="AI14" s="36"/>
      <c r="AJ14" s="36"/>
      <c r="AK14" s="36"/>
      <c r="AL14" s="36"/>
      <c r="AM14" s="36"/>
      <c r="AN14" s="36"/>
      <c r="AO14" s="36"/>
      <c r="AP14" s="36"/>
      <c r="AQ14" s="36"/>
    </row>
    <row r="15" customFormat="false" ht="60" hidden="false" customHeight="true" outlineLevel="0" collapsed="false">
      <c r="A15" s="34"/>
      <c r="B15" s="19" t="str">
        <f aca="false">IF($A15="","",IFERROR(INDEX('Fragrance Projects'!$C$5:$C$64,MATCH($A15,'Fragrance Projects'!$A$5:$A$64,0)),""))</f>
        <v/>
      </c>
      <c r="C15" s="19" t="str">
        <f aca="false">IF($A15="","",IFERROR(INDEX('Fragrance Projects'!$D$5:$D$64,MATCH($A15,'Fragrance Projects'!$A$5:$A$64,0)),""))</f>
        <v/>
      </c>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6"/>
      <c r="AH15" s="36"/>
      <c r="AI15" s="36"/>
      <c r="AJ15" s="36"/>
      <c r="AK15" s="36"/>
      <c r="AL15" s="36"/>
      <c r="AM15" s="36"/>
      <c r="AN15" s="36"/>
      <c r="AO15" s="36"/>
      <c r="AP15" s="36"/>
      <c r="AQ15" s="36"/>
    </row>
    <row r="16" customFormat="false" ht="60" hidden="false" customHeight="true" outlineLevel="0" collapsed="false">
      <c r="A16" s="34"/>
      <c r="B16" s="19" t="str">
        <f aca="false">IF($A16="","",IFERROR(INDEX('Fragrance Projects'!$C$5:$C$64,MATCH($A16,'Fragrance Projects'!$A$5:$A$64,0)),""))</f>
        <v/>
      </c>
      <c r="C16" s="19" t="str">
        <f aca="false">IF($A16="","",IFERROR(INDEX('Fragrance Projects'!$D$5:$D$64,MATCH($A16,'Fragrance Projects'!$A$5:$A$64,0)),""))</f>
        <v/>
      </c>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6"/>
      <c r="AH16" s="36"/>
      <c r="AI16" s="36"/>
      <c r="AJ16" s="36"/>
      <c r="AK16" s="36"/>
      <c r="AL16" s="36"/>
      <c r="AM16" s="36"/>
      <c r="AN16" s="36"/>
      <c r="AO16" s="36"/>
      <c r="AP16" s="36"/>
      <c r="AQ16" s="36"/>
    </row>
    <row r="17" customFormat="false" ht="60" hidden="false" customHeight="true" outlineLevel="0" collapsed="false">
      <c r="A17" s="34"/>
      <c r="B17" s="19" t="str">
        <f aca="false">IF($A17="","",IFERROR(INDEX('Fragrance Projects'!$C$5:$C$64,MATCH($A17,'Fragrance Projects'!$A$5:$A$64,0)),""))</f>
        <v/>
      </c>
      <c r="C17" s="19" t="str">
        <f aca="false">IF($A17="","",IFERROR(INDEX('Fragrance Projects'!$D$5:$D$64,MATCH($A17,'Fragrance Projects'!$A$5:$A$64,0)),""))</f>
        <v/>
      </c>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6"/>
      <c r="AH17" s="36"/>
      <c r="AI17" s="36"/>
      <c r="AJ17" s="36"/>
      <c r="AK17" s="36"/>
      <c r="AL17" s="36"/>
      <c r="AM17" s="36"/>
      <c r="AN17" s="36"/>
      <c r="AO17" s="36"/>
      <c r="AP17" s="36"/>
      <c r="AQ17" s="36"/>
    </row>
    <row r="18" customFormat="false" ht="60" hidden="false" customHeight="true" outlineLevel="0" collapsed="false">
      <c r="A18" s="34"/>
      <c r="B18" s="19" t="str">
        <f aca="false">IF($A18="","",IFERROR(INDEX('Fragrance Projects'!$C$5:$C$64,MATCH($A18,'Fragrance Projects'!$A$5:$A$64,0)),""))</f>
        <v/>
      </c>
      <c r="C18" s="19" t="str">
        <f aca="false">IF($A18="","",IFERROR(INDEX('Fragrance Projects'!$D$5:$D$64,MATCH($A18,'Fragrance Projects'!$A$5:$A$64,0)),""))</f>
        <v/>
      </c>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6"/>
      <c r="AH18" s="36"/>
      <c r="AI18" s="36"/>
      <c r="AJ18" s="36"/>
      <c r="AK18" s="36"/>
      <c r="AL18" s="36"/>
      <c r="AM18" s="36"/>
      <c r="AN18" s="36"/>
      <c r="AO18" s="36"/>
      <c r="AP18" s="36"/>
      <c r="AQ18" s="36"/>
    </row>
    <row r="19" customFormat="false" ht="60" hidden="false" customHeight="true" outlineLevel="0" collapsed="false">
      <c r="A19" s="34"/>
      <c r="B19" s="19" t="str">
        <f aca="false">IF($A19="","",IFERROR(INDEX('Fragrance Projects'!$C$5:$C$64,MATCH($A19,'Fragrance Projects'!$A$5:$A$64,0)),""))</f>
        <v/>
      </c>
      <c r="C19" s="19" t="str">
        <f aca="false">IF($A19="","",IFERROR(INDEX('Fragrance Projects'!$D$5:$D$64,MATCH($A19,'Fragrance Projects'!$A$5:$A$64,0)),""))</f>
        <v/>
      </c>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6"/>
      <c r="AH19" s="36"/>
      <c r="AI19" s="36"/>
      <c r="AJ19" s="36"/>
      <c r="AK19" s="36"/>
      <c r="AL19" s="36"/>
      <c r="AM19" s="36"/>
      <c r="AN19" s="36"/>
      <c r="AO19" s="36"/>
      <c r="AP19" s="36"/>
      <c r="AQ19" s="36"/>
    </row>
    <row r="20" customFormat="false" ht="60" hidden="false" customHeight="true" outlineLevel="0" collapsed="false">
      <c r="A20" s="34"/>
      <c r="B20" s="19" t="str">
        <f aca="false">IF($A20="","",IFERROR(INDEX('Fragrance Projects'!$C$5:$C$64,MATCH($A20,'Fragrance Projects'!$A$5:$A$64,0)),""))</f>
        <v/>
      </c>
      <c r="C20" s="19" t="str">
        <f aca="false">IF($A20="","",IFERROR(INDEX('Fragrance Projects'!$D$5:$D$64,MATCH($A20,'Fragrance Projects'!$A$5:$A$64,0)),""))</f>
        <v/>
      </c>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6"/>
      <c r="AH20" s="36"/>
      <c r="AI20" s="36"/>
      <c r="AJ20" s="36"/>
      <c r="AK20" s="36"/>
      <c r="AL20" s="36"/>
      <c r="AM20" s="36"/>
      <c r="AN20" s="36"/>
      <c r="AO20" s="36"/>
      <c r="AP20" s="36"/>
      <c r="AQ20" s="36"/>
    </row>
    <row r="21" customFormat="false" ht="60" hidden="false" customHeight="true" outlineLevel="0" collapsed="false">
      <c r="A21" s="34"/>
      <c r="B21" s="19" t="str">
        <f aca="false">IF($A21="","",IFERROR(INDEX('Fragrance Projects'!$C$5:$C$64,MATCH($A21,'Fragrance Projects'!$A$5:$A$64,0)),""))</f>
        <v/>
      </c>
      <c r="C21" s="19" t="str">
        <f aca="false">IF($A21="","",IFERROR(INDEX('Fragrance Projects'!$D$5:$D$64,MATCH($A21,'Fragrance Projects'!$A$5:$A$64,0)),""))</f>
        <v/>
      </c>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6"/>
      <c r="AH21" s="36"/>
      <c r="AI21" s="36"/>
      <c r="AJ21" s="36"/>
      <c r="AK21" s="36"/>
      <c r="AL21" s="36"/>
      <c r="AM21" s="36"/>
      <c r="AN21" s="36"/>
      <c r="AO21" s="36"/>
      <c r="AP21" s="36"/>
      <c r="AQ21" s="36"/>
    </row>
    <row r="22" customFormat="false" ht="60" hidden="false" customHeight="true" outlineLevel="0" collapsed="false">
      <c r="A22" s="34"/>
      <c r="B22" s="19" t="str">
        <f aca="false">IF($A22="","",IFERROR(INDEX('Fragrance Projects'!$C$5:$C$64,MATCH($A22,'Fragrance Projects'!$A$5:$A$64,0)),""))</f>
        <v/>
      </c>
      <c r="C22" s="19" t="str">
        <f aca="false">IF($A22="","",IFERROR(INDEX('Fragrance Projects'!$D$5:$D$64,MATCH($A22,'Fragrance Projects'!$A$5:$A$64,0)),""))</f>
        <v/>
      </c>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6"/>
      <c r="AH22" s="36"/>
      <c r="AI22" s="36"/>
      <c r="AJ22" s="36"/>
      <c r="AK22" s="36"/>
      <c r="AL22" s="36"/>
      <c r="AM22" s="36"/>
      <c r="AN22" s="36"/>
      <c r="AO22" s="36"/>
      <c r="AP22" s="36"/>
      <c r="AQ22" s="36"/>
    </row>
    <row r="23" customFormat="false" ht="60" hidden="false" customHeight="true" outlineLevel="0" collapsed="false">
      <c r="A23" s="34"/>
      <c r="B23" s="19" t="str">
        <f aca="false">IF($A23="","",IFERROR(INDEX('Fragrance Projects'!$C$5:$C$64,MATCH($A23,'Fragrance Projects'!$A$5:$A$64,0)),""))</f>
        <v/>
      </c>
      <c r="C23" s="19" t="str">
        <f aca="false">IF($A23="","",IFERROR(INDEX('Fragrance Projects'!$D$5:$D$64,MATCH($A23,'Fragrance Projects'!$A$5:$A$64,0)),""))</f>
        <v/>
      </c>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6"/>
      <c r="AH23" s="36"/>
      <c r="AI23" s="36"/>
      <c r="AJ23" s="36"/>
      <c r="AK23" s="36"/>
      <c r="AL23" s="36"/>
      <c r="AM23" s="36"/>
      <c r="AN23" s="36"/>
      <c r="AO23" s="36"/>
      <c r="AP23" s="36"/>
      <c r="AQ23" s="36"/>
    </row>
    <row r="24" customFormat="false" ht="60" hidden="false" customHeight="true" outlineLevel="0" collapsed="false">
      <c r="A24" s="34"/>
      <c r="B24" s="19" t="str">
        <f aca="false">IF($A24="","",IFERROR(INDEX('Fragrance Projects'!$C$5:$C$64,MATCH($A24,'Fragrance Projects'!$A$5:$A$64,0)),""))</f>
        <v/>
      </c>
      <c r="C24" s="19" t="str">
        <f aca="false">IF($A24="","",IFERROR(INDEX('Fragrance Projects'!$D$5:$D$64,MATCH($A24,'Fragrance Projects'!$A$5:$A$64,0)),""))</f>
        <v/>
      </c>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6"/>
      <c r="AH24" s="36"/>
      <c r="AI24" s="36"/>
      <c r="AJ24" s="36"/>
      <c r="AK24" s="36"/>
      <c r="AL24" s="36"/>
      <c r="AM24" s="36"/>
      <c r="AN24" s="36"/>
      <c r="AO24" s="36"/>
      <c r="AP24" s="36"/>
      <c r="AQ24" s="36"/>
    </row>
    <row r="25" customFormat="false" ht="60" hidden="false" customHeight="true" outlineLevel="0" collapsed="false">
      <c r="A25" s="34"/>
      <c r="B25" s="19" t="str">
        <f aca="false">IF($A25="","",IFERROR(INDEX('Fragrance Projects'!$C$5:$C$64,MATCH($A25,'Fragrance Projects'!$A$5:$A$64,0)),""))</f>
        <v/>
      </c>
      <c r="C25" s="19" t="str">
        <f aca="false">IF($A25="","",IFERROR(INDEX('Fragrance Projects'!$D$5:$D$64,MATCH($A25,'Fragrance Projects'!$A$5:$A$64,0)),""))</f>
        <v/>
      </c>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6"/>
      <c r="AH25" s="36"/>
      <c r="AI25" s="36"/>
      <c r="AJ25" s="36"/>
      <c r="AK25" s="36"/>
      <c r="AL25" s="36"/>
      <c r="AM25" s="36"/>
      <c r="AN25" s="36"/>
      <c r="AO25" s="36"/>
      <c r="AP25" s="36"/>
      <c r="AQ25" s="36"/>
    </row>
    <row r="26" customFormat="false" ht="60" hidden="false" customHeight="true" outlineLevel="0" collapsed="false">
      <c r="A26" s="34"/>
      <c r="B26" s="19" t="str">
        <f aca="false">IF($A26="","",IFERROR(INDEX('Fragrance Projects'!$C$5:$C$64,MATCH($A26,'Fragrance Projects'!$A$5:$A$64,0)),""))</f>
        <v/>
      </c>
      <c r="C26" s="19" t="str">
        <f aca="false">IF($A26="","",IFERROR(INDEX('Fragrance Projects'!$D$5:$D$64,MATCH($A26,'Fragrance Projects'!$A$5:$A$64,0)),""))</f>
        <v/>
      </c>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6"/>
      <c r="AH26" s="36"/>
      <c r="AI26" s="36"/>
      <c r="AJ26" s="36"/>
      <c r="AK26" s="36"/>
      <c r="AL26" s="36"/>
      <c r="AM26" s="36"/>
      <c r="AN26" s="36"/>
      <c r="AO26" s="36"/>
      <c r="AP26" s="36"/>
      <c r="AQ26" s="36"/>
    </row>
    <row r="27" customFormat="false" ht="60" hidden="false" customHeight="true" outlineLevel="0" collapsed="false">
      <c r="A27" s="34"/>
      <c r="B27" s="19" t="str">
        <f aca="false">IF($A27="","",IFERROR(INDEX('Fragrance Projects'!$C$5:$C$64,MATCH($A27,'Fragrance Projects'!$A$5:$A$64,0)),""))</f>
        <v/>
      </c>
      <c r="C27" s="19" t="str">
        <f aca="false">IF($A27="","",IFERROR(INDEX('Fragrance Projects'!$D$5:$D$64,MATCH($A27,'Fragrance Projects'!$A$5:$A$64,0)),""))</f>
        <v/>
      </c>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6"/>
      <c r="AH27" s="36"/>
      <c r="AI27" s="36"/>
      <c r="AJ27" s="36"/>
      <c r="AK27" s="36"/>
      <c r="AL27" s="36"/>
      <c r="AM27" s="36"/>
      <c r="AN27" s="36"/>
      <c r="AO27" s="36"/>
      <c r="AP27" s="36"/>
      <c r="AQ27" s="36"/>
    </row>
    <row r="28" customFormat="false" ht="60" hidden="false" customHeight="true" outlineLevel="0" collapsed="false">
      <c r="A28" s="34"/>
      <c r="B28" s="19" t="str">
        <f aca="false">IF($A28="","",IFERROR(INDEX('Fragrance Projects'!$C$5:$C$64,MATCH($A28,'Fragrance Projects'!$A$5:$A$64,0)),""))</f>
        <v/>
      </c>
      <c r="C28" s="19" t="str">
        <f aca="false">IF($A28="","",IFERROR(INDEX('Fragrance Projects'!$D$5:$D$64,MATCH($A28,'Fragrance Projects'!$A$5:$A$64,0)),""))</f>
        <v/>
      </c>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6"/>
      <c r="AH28" s="36"/>
      <c r="AI28" s="36"/>
      <c r="AJ28" s="36"/>
      <c r="AK28" s="36"/>
      <c r="AL28" s="36"/>
      <c r="AM28" s="36"/>
      <c r="AN28" s="36"/>
      <c r="AO28" s="36"/>
      <c r="AP28" s="36"/>
      <c r="AQ28" s="36"/>
    </row>
    <row r="29" customFormat="false" ht="60" hidden="false" customHeight="true" outlineLevel="0" collapsed="false">
      <c r="A29" s="34"/>
      <c r="B29" s="19" t="str">
        <f aca="false">IF($A29="","",IFERROR(INDEX('Fragrance Projects'!$C$5:$C$64,MATCH($A29,'Fragrance Projects'!$A$5:$A$64,0)),""))</f>
        <v/>
      </c>
      <c r="C29" s="19" t="str">
        <f aca="false">IF($A29="","",IFERROR(INDEX('Fragrance Projects'!$D$5:$D$64,MATCH($A29,'Fragrance Projects'!$A$5:$A$64,0)),""))</f>
        <v/>
      </c>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6"/>
      <c r="AH29" s="36"/>
      <c r="AI29" s="36"/>
      <c r="AJ29" s="36"/>
      <c r="AK29" s="36"/>
      <c r="AL29" s="36"/>
      <c r="AM29" s="36"/>
      <c r="AN29" s="36"/>
      <c r="AO29" s="36"/>
      <c r="AP29" s="36"/>
      <c r="AQ29" s="36"/>
    </row>
    <row r="30" customFormat="false" ht="60" hidden="false" customHeight="true" outlineLevel="0" collapsed="false">
      <c r="A30" s="34"/>
      <c r="B30" s="19" t="str">
        <f aca="false">IF($A30="","",IFERROR(INDEX('Fragrance Projects'!$C$5:$C$64,MATCH($A30,'Fragrance Projects'!$A$5:$A$64,0)),""))</f>
        <v/>
      </c>
      <c r="C30" s="19" t="str">
        <f aca="false">IF($A30="","",IFERROR(INDEX('Fragrance Projects'!$D$5:$D$64,MATCH($A30,'Fragrance Projects'!$A$5:$A$64,0)),""))</f>
        <v/>
      </c>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6"/>
      <c r="AH30" s="36"/>
      <c r="AI30" s="36"/>
      <c r="AJ30" s="36"/>
      <c r="AK30" s="36"/>
      <c r="AL30" s="36"/>
      <c r="AM30" s="36"/>
      <c r="AN30" s="36"/>
      <c r="AO30" s="36"/>
      <c r="AP30" s="36"/>
      <c r="AQ30" s="36"/>
    </row>
    <row r="31" customFormat="false" ht="60" hidden="false" customHeight="true" outlineLevel="0" collapsed="false">
      <c r="A31" s="34"/>
      <c r="B31" s="19" t="str">
        <f aca="false">IF($A31="","",IFERROR(INDEX('Fragrance Projects'!$C$5:$C$64,MATCH($A31,'Fragrance Projects'!$A$5:$A$64,0)),""))</f>
        <v/>
      </c>
      <c r="C31" s="19" t="str">
        <f aca="false">IF($A31="","",IFERROR(INDEX('Fragrance Projects'!$D$5:$D$64,MATCH($A31,'Fragrance Projects'!$A$5:$A$64,0)),""))</f>
        <v/>
      </c>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6"/>
      <c r="AH31" s="36"/>
      <c r="AI31" s="36"/>
      <c r="AJ31" s="36"/>
      <c r="AK31" s="36"/>
      <c r="AL31" s="36"/>
      <c r="AM31" s="36"/>
      <c r="AN31" s="36"/>
      <c r="AO31" s="36"/>
      <c r="AP31" s="36"/>
      <c r="AQ31" s="36"/>
    </row>
    <row r="32" customFormat="false" ht="60" hidden="false" customHeight="true" outlineLevel="0" collapsed="false">
      <c r="A32" s="34"/>
      <c r="B32" s="19" t="str">
        <f aca="false">IF($A32="","",IFERROR(INDEX('Fragrance Projects'!$C$5:$C$64,MATCH($A32,'Fragrance Projects'!$A$5:$A$64,0)),""))</f>
        <v/>
      </c>
      <c r="C32" s="19" t="str">
        <f aca="false">IF($A32="","",IFERROR(INDEX('Fragrance Projects'!$D$5:$D$64,MATCH($A32,'Fragrance Projects'!$A$5:$A$64,0)),""))</f>
        <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6"/>
      <c r="AH32" s="36"/>
      <c r="AI32" s="36"/>
      <c r="AJ32" s="36"/>
      <c r="AK32" s="36"/>
      <c r="AL32" s="36"/>
      <c r="AM32" s="36"/>
      <c r="AN32" s="36"/>
      <c r="AO32" s="36"/>
      <c r="AP32" s="36"/>
      <c r="AQ32" s="36"/>
    </row>
    <row r="33" customFormat="false" ht="60" hidden="false" customHeight="true" outlineLevel="0" collapsed="false">
      <c r="A33" s="34"/>
      <c r="B33" s="19" t="str">
        <f aca="false">IF($A33="","",IFERROR(INDEX('Fragrance Projects'!$C$5:$C$64,MATCH($A33,'Fragrance Projects'!$A$5:$A$64,0)),""))</f>
        <v/>
      </c>
      <c r="C33" s="19" t="str">
        <f aca="false">IF($A33="","",IFERROR(INDEX('Fragrance Projects'!$D$5:$D$64,MATCH($A33,'Fragrance Projects'!$A$5:$A$64,0)),""))</f>
        <v/>
      </c>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6"/>
      <c r="AH33" s="36"/>
      <c r="AI33" s="36"/>
      <c r="AJ33" s="36"/>
      <c r="AK33" s="36"/>
      <c r="AL33" s="36"/>
      <c r="AM33" s="36"/>
      <c r="AN33" s="36"/>
      <c r="AO33" s="36"/>
      <c r="AP33" s="36"/>
      <c r="AQ33" s="36"/>
    </row>
    <row r="34" customFormat="false" ht="60" hidden="false" customHeight="true" outlineLevel="0" collapsed="false">
      <c r="A34" s="34"/>
      <c r="B34" s="19" t="str">
        <f aca="false">IF($A34="","",IFERROR(INDEX('Fragrance Projects'!$C$5:$C$64,MATCH($A34,'Fragrance Projects'!$A$5:$A$64,0)),""))</f>
        <v/>
      </c>
      <c r="C34" s="19" t="str">
        <f aca="false">IF($A34="","",IFERROR(INDEX('Fragrance Projects'!$D$5:$D$64,MATCH($A34,'Fragrance Projects'!$A$5:$A$64,0)),""))</f>
        <v/>
      </c>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6"/>
      <c r="AH34" s="36"/>
      <c r="AI34" s="36"/>
      <c r="AJ34" s="36"/>
      <c r="AK34" s="36"/>
      <c r="AL34" s="36"/>
      <c r="AM34" s="36"/>
      <c r="AN34" s="36"/>
      <c r="AO34" s="36"/>
      <c r="AP34" s="36"/>
      <c r="AQ34" s="36"/>
    </row>
    <row r="35" customFormat="false" ht="60" hidden="false" customHeight="true" outlineLevel="0" collapsed="false">
      <c r="A35" s="34"/>
      <c r="B35" s="19" t="str">
        <f aca="false">IF($A35="","",IFERROR(INDEX('Fragrance Projects'!$C$5:$C$64,MATCH($A35,'Fragrance Projects'!$A$5:$A$64,0)),""))</f>
        <v/>
      </c>
      <c r="C35" s="19" t="str">
        <f aca="false">IF($A35="","",IFERROR(INDEX('Fragrance Projects'!$D$5:$D$64,MATCH($A35,'Fragrance Projects'!$A$5:$A$64,0)),""))</f>
        <v/>
      </c>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6"/>
      <c r="AH35" s="36"/>
      <c r="AI35" s="36"/>
      <c r="AJ35" s="36"/>
      <c r="AK35" s="36"/>
      <c r="AL35" s="36"/>
      <c r="AM35" s="36"/>
      <c r="AN35" s="36"/>
      <c r="AO35" s="36"/>
      <c r="AP35" s="36"/>
      <c r="AQ35" s="36"/>
    </row>
    <row r="36" customFormat="false" ht="60" hidden="false" customHeight="true" outlineLevel="0" collapsed="false">
      <c r="A36" s="34"/>
      <c r="B36" s="19" t="str">
        <f aca="false">IF($A36="","",IFERROR(INDEX('Fragrance Projects'!$C$5:$C$64,MATCH($A36,'Fragrance Projects'!$A$5:$A$64,0)),""))</f>
        <v/>
      </c>
      <c r="C36" s="19" t="str">
        <f aca="false">IF($A36="","",IFERROR(INDEX('Fragrance Projects'!$D$5:$D$64,MATCH($A36,'Fragrance Projects'!$A$5:$A$64,0)),""))</f>
        <v/>
      </c>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6"/>
      <c r="AH36" s="36"/>
      <c r="AI36" s="36"/>
      <c r="AJ36" s="36"/>
      <c r="AK36" s="36"/>
      <c r="AL36" s="36"/>
      <c r="AM36" s="36"/>
      <c r="AN36" s="36"/>
      <c r="AO36" s="36"/>
      <c r="AP36" s="36"/>
      <c r="AQ36" s="36"/>
    </row>
    <row r="37" customFormat="false" ht="60" hidden="false" customHeight="true" outlineLevel="0" collapsed="false">
      <c r="A37" s="34"/>
      <c r="B37" s="19" t="str">
        <f aca="false">IF($A37="","",IFERROR(INDEX('Fragrance Projects'!$C$5:$C$64,MATCH($A37,'Fragrance Projects'!$A$5:$A$64,0)),""))</f>
        <v/>
      </c>
      <c r="C37" s="19" t="str">
        <f aca="false">IF($A37="","",IFERROR(INDEX('Fragrance Projects'!$D$5:$D$64,MATCH($A37,'Fragrance Projects'!$A$5:$A$64,0)),""))</f>
        <v/>
      </c>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6"/>
      <c r="AH37" s="36"/>
      <c r="AI37" s="36"/>
      <c r="AJ37" s="36"/>
      <c r="AK37" s="36"/>
      <c r="AL37" s="36"/>
      <c r="AM37" s="36"/>
      <c r="AN37" s="36"/>
      <c r="AO37" s="36"/>
      <c r="AP37" s="36"/>
      <c r="AQ37" s="36"/>
    </row>
    <row r="38" customFormat="false" ht="60" hidden="false" customHeight="true" outlineLevel="0" collapsed="false">
      <c r="A38" s="34"/>
      <c r="B38" s="19" t="str">
        <f aca="false">IF($A38="","",IFERROR(INDEX('Fragrance Projects'!$C$5:$C$64,MATCH($A38,'Fragrance Projects'!$A$5:$A$64,0)),""))</f>
        <v/>
      </c>
      <c r="C38" s="19" t="str">
        <f aca="false">IF($A38="","",IFERROR(INDEX('Fragrance Projects'!$D$5:$D$64,MATCH($A38,'Fragrance Projects'!$A$5:$A$64,0)),""))</f>
        <v/>
      </c>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6"/>
      <c r="AH38" s="36"/>
      <c r="AI38" s="36"/>
      <c r="AJ38" s="36"/>
      <c r="AK38" s="36"/>
      <c r="AL38" s="36"/>
      <c r="AM38" s="36"/>
      <c r="AN38" s="36"/>
      <c r="AO38" s="36"/>
      <c r="AP38" s="36"/>
      <c r="AQ38" s="36"/>
    </row>
    <row r="39" customFormat="false" ht="60" hidden="false" customHeight="true" outlineLevel="0" collapsed="false">
      <c r="A39" s="34"/>
      <c r="B39" s="19" t="str">
        <f aca="false">IF($A39="","",IFERROR(INDEX('Fragrance Projects'!$C$5:$C$64,MATCH($A39,'Fragrance Projects'!$A$5:$A$64,0)),""))</f>
        <v/>
      </c>
      <c r="C39" s="19" t="str">
        <f aca="false">IF($A39="","",IFERROR(INDEX('Fragrance Projects'!$D$5:$D$64,MATCH($A39,'Fragrance Projects'!$A$5:$A$64,0)),""))</f>
        <v/>
      </c>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6"/>
      <c r="AH39" s="36"/>
      <c r="AI39" s="36"/>
      <c r="AJ39" s="36"/>
      <c r="AK39" s="36"/>
      <c r="AL39" s="36"/>
      <c r="AM39" s="36"/>
      <c r="AN39" s="36"/>
      <c r="AO39" s="36"/>
      <c r="AP39" s="36"/>
      <c r="AQ39" s="36"/>
    </row>
    <row r="40" customFormat="false" ht="60" hidden="false" customHeight="true" outlineLevel="0" collapsed="false">
      <c r="A40" s="34"/>
      <c r="B40" s="19" t="str">
        <f aca="false">IF($A40="","",IFERROR(INDEX('Fragrance Projects'!$C$5:$C$64,MATCH($A40,'Fragrance Projects'!$A$5:$A$64,0)),""))</f>
        <v/>
      </c>
      <c r="C40" s="19" t="str">
        <f aca="false">IF($A40="","",IFERROR(INDEX('Fragrance Projects'!$D$5:$D$64,MATCH($A40,'Fragrance Projects'!$A$5:$A$64,0)),""))</f>
        <v/>
      </c>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6"/>
      <c r="AH40" s="36"/>
      <c r="AI40" s="36"/>
      <c r="AJ40" s="36"/>
      <c r="AK40" s="36"/>
      <c r="AL40" s="36"/>
      <c r="AM40" s="36"/>
      <c r="AN40" s="36"/>
      <c r="AO40" s="36"/>
      <c r="AP40" s="36"/>
      <c r="AQ40" s="36"/>
    </row>
    <row r="41" customFormat="false" ht="60" hidden="false" customHeight="true" outlineLevel="0" collapsed="false">
      <c r="A41" s="34"/>
      <c r="B41" s="19" t="str">
        <f aca="false">IF($A41="","",IFERROR(INDEX('Fragrance Projects'!$C$5:$C$64,MATCH($A41,'Fragrance Projects'!$A$5:$A$64,0)),""))</f>
        <v/>
      </c>
      <c r="C41" s="19" t="str">
        <f aca="false">IF($A41="","",IFERROR(INDEX('Fragrance Projects'!$D$5:$D$64,MATCH($A41,'Fragrance Projects'!$A$5:$A$64,0)),""))</f>
        <v/>
      </c>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6"/>
      <c r="AH41" s="36"/>
      <c r="AI41" s="36"/>
      <c r="AJ41" s="36"/>
      <c r="AK41" s="36"/>
      <c r="AL41" s="36"/>
      <c r="AM41" s="36"/>
      <c r="AN41" s="36"/>
      <c r="AO41" s="36"/>
      <c r="AP41" s="36"/>
      <c r="AQ41" s="36"/>
    </row>
    <row r="42" customFormat="false" ht="60" hidden="false" customHeight="true" outlineLevel="0" collapsed="false">
      <c r="A42" s="34"/>
      <c r="B42" s="19" t="str">
        <f aca="false">IF($A42="","",IFERROR(INDEX('Fragrance Projects'!$C$5:$C$64,MATCH($A42,'Fragrance Projects'!$A$5:$A$64,0)),""))</f>
        <v/>
      </c>
      <c r="C42" s="19" t="str">
        <f aca="false">IF($A42="","",IFERROR(INDEX('Fragrance Projects'!$D$5:$D$64,MATCH($A42,'Fragrance Projects'!$A$5:$A$64,0)),""))</f>
        <v/>
      </c>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6"/>
      <c r="AH42" s="36"/>
      <c r="AI42" s="36"/>
      <c r="AJ42" s="36"/>
      <c r="AK42" s="36"/>
      <c r="AL42" s="36"/>
      <c r="AM42" s="36"/>
      <c r="AN42" s="36"/>
      <c r="AO42" s="36"/>
      <c r="AP42" s="36"/>
      <c r="AQ42" s="36"/>
    </row>
    <row r="43" customFormat="false" ht="60" hidden="false" customHeight="true" outlineLevel="0" collapsed="false">
      <c r="A43" s="34"/>
      <c r="B43" s="19" t="str">
        <f aca="false">IF($A43="","",IFERROR(INDEX('Fragrance Projects'!$C$5:$C$64,MATCH($A43,'Fragrance Projects'!$A$5:$A$64,0)),""))</f>
        <v/>
      </c>
      <c r="C43" s="19" t="str">
        <f aca="false">IF($A43="","",IFERROR(INDEX('Fragrance Projects'!$D$5:$D$64,MATCH($A43,'Fragrance Projects'!$A$5:$A$64,0)),""))</f>
        <v/>
      </c>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6"/>
      <c r="AH43" s="36"/>
      <c r="AI43" s="36"/>
      <c r="AJ43" s="36"/>
      <c r="AK43" s="36"/>
      <c r="AL43" s="36"/>
      <c r="AM43" s="36"/>
      <c r="AN43" s="36"/>
      <c r="AO43" s="36"/>
      <c r="AP43" s="36"/>
      <c r="AQ43" s="36"/>
    </row>
    <row r="44" customFormat="false" ht="60" hidden="false" customHeight="true" outlineLevel="0" collapsed="false">
      <c r="A44" s="34"/>
      <c r="B44" s="19" t="str">
        <f aca="false">IF($A44="","",IFERROR(INDEX('Fragrance Projects'!$C$5:$C$64,MATCH($A44,'Fragrance Projects'!$A$5:$A$64,0)),""))</f>
        <v/>
      </c>
      <c r="C44" s="19" t="str">
        <f aca="false">IF($A44="","",IFERROR(INDEX('Fragrance Projects'!$D$5:$D$64,MATCH($A44,'Fragrance Projects'!$A$5:$A$64,0)),""))</f>
        <v/>
      </c>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6"/>
      <c r="AH44" s="36"/>
      <c r="AI44" s="36"/>
      <c r="AJ44" s="36"/>
      <c r="AK44" s="36"/>
      <c r="AL44" s="36"/>
      <c r="AM44" s="36"/>
      <c r="AN44" s="36"/>
      <c r="AO44" s="36"/>
      <c r="AP44" s="36"/>
      <c r="AQ44" s="36"/>
    </row>
    <row r="45" customFormat="false" ht="60" hidden="false" customHeight="true" outlineLevel="0" collapsed="false">
      <c r="A45" s="34"/>
      <c r="B45" s="19" t="str">
        <f aca="false">IF($A45="","",IFERROR(INDEX('Fragrance Projects'!$C$5:$C$64,MATCH($A45,'Fragrance Projects'!$A$5:$A$64,0)),""))</f>
        <v/>
      </c>
      <c r="C45" s="19" t="str">
        <f aca="false">IF($A45="","",IFERROR(INDEX('Fragrance Projects'!$D$5:$D$64,MATCH($A45,'Fragrance Projects'!$A$5:$A$64,0)),""))</f>
        <v/>
      </c>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6"/>
      <c r="AH45" s="36"/>
      <c r="AI45" s="36"/>
      <c r="AJ45" s="36"/>
      <c r="AK45" s="36"/>
      <c r="AL45" s="36"/>
      <c r="AM45" s="36"/>
      <c r="AN45" s="36"/>
      <c r="AO45" s="36"/>
      <c r="AP45" s="36"/>
      <c r="AQ45" s="36"/>
    </row>
    <row r="46" customFormat="false" ht="60" hidden="false" customHeight="true" outlineLevel="0" collapsed="false">
      <c r="A46" s="34"/>
      <c r="B46" s="19" t="str">
        <f aca="false">IF($A46="","",IFERROR(INDEX('Fragrance Projects'!$C$5:$C$64,MATCH($A46,'Fragrance Projects'!$A$5:$A$64,0)),""))</f>
        <v/>
      </c>
      <c r="C46" s="19" t="str">
        <f aca="false">IF($A46="","",IFERROR(INDEX('Fragrance Projects'!$D$5:$D$64,MATCH($A46,'Fragrance Projects'!$A$5:$A$64,0)),""))</f>
        <v/>
      </c>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6"/>
      <c r="AH46" s="36"/>
      <c r="AI46" s="36"/>
      <c r="AJ46" s="36"/>
      <c r="AK46" s="36"/>
      <c r="AL46" s="36"/>
      <c r="AM46" s="36"/>
      <c r="AN46" s="36"/>
      <c r="AO46" s="36"/>
      <c r="AP46" s="36"/>
      <c r="AQ46" s="36"/>
    </row>
    <row r="47" customFormat="false" ht="60" hidden="false" customHeight="true" outlineLevel="0" collapsed="false">
      <c r="A47" s="34"/>
      <c r="B47" s="19" t="str">
        <f aca="false">IF($A47="","",IFERROR(INDEX('Fragrance Projects'!$C$5:$C$64,MATCH($A47,'Fragrance Projects'!$A$5:$A$64,0)),""))</f>
        <v/>
      </c>
      <c r="C47" s="19" t="str">
        <f aca="false">IF($A47="","",IFERROR(INDEX('Fragrance Projects'!$D$5:$D$64,MATCH($A47,'Fragrance Projects'!$A$5:$A$64,0)),""))</f>
        <v/>
      </c>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6"/>
      <c r="AH47" s="36"/>
      <c r="AI47" s="36"/>
      <c r="AJ47" s="36"/>
      <c r="AK47" s="36"/>
      <c r="AL47" s="36"/>
      <c r="AM47" s="36"/>
      <c r="AN47" s="36"/>
      <c r="AO47" s="36"/>
      <c r="AP47" s="36"/>
      <c r="AQ47" s="36"/>
    </row>
    <row r="48" customFormat="false" ht="60" hidden="false" customHeight="true" outlineLevel="0" collapsed="false">
      <c r="A48" s="34"/>
      <c r="B48" s="19" t="str">
        <f aca="false">IF($A48="","",IFERROR(INDEX('Fragrance Projects'!$C$5:$C$64,MATCH($A48,'Fragrance Projects'!$A$5:$A$64,0)),""))</f>
        <v/>
      </c>
      <c r="C48" s="19" t="str">
        <f aca="false">IF($A48="","",IFERROR(INDEX('Fragrance Projects'!$D$5:$D$64,MATCH($A48,'Fragrance Projects'!$A$5:$A$64,0)),""))</f>
        <v/>
      </c>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6"/>
      <c r="AH48" s="36"/>
      <c r="AI48" s="36"/>
      <c r="AJ48" s="36"/>
      <c r="AK48" s="36"/>
      <c r="AL48" s="36"/>
      <c r="AM48" s="36"/>
      <c r="AN48" s="36"/>
      <c r="AO48" s="36"/>
      <c r="AP48" s="36"/>
      <c r="AQ48" s="36"/>
    </row>
    <row r="49" customFormat="false" ht="60" hidden="false" customHeight="true" outlineLevel="0" collapsed="false">
      <c r="A49" s="34"/>
      <c r="B49" s="19" t="str">
        <f aca="false">IF($A49="","",IFERROR(INDEX('Fragrance Projects'!$C$5:$C$64,MATCH($A49,'Fragrance Projects'!$A$5:$A$64,0)),""))</f>
        <v/>
      </c>
      <c r="C49" s="19" t="str">
        <f aca="false">IF($A49="","",IFERROR(INDEX('Fragrance Projects'!$D$5:$D$64,MATCH($A49,'Fragrance Projects'!$A$5:$A$64,0)),""))</f>
        <v/>
      </c>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6"/>
      <c r="AH49" s="36"/>
      <c r="AI49" s="36"/>
      <c r="AJ49" s="36"/>
      <c r="AK49" s="36"/>
      <c r="AL49" s="36"/>
      <c r="AM49" s="36"/>
      <c r="AN49" s="36"/>
      <c r="AO49" s="36"/>
      <c r="AP49" s="36"/>
      <c r="AQ49" s="36"/>
    </row>
    <row r="50" customFormat="false" ht="60" hidden="false" customHeight="true" outlineLevel="0" collapsed="false">
      <c r="A50" s="34"/>
      <c r="B50" s="19" t="str">
        <f aca="false">IF($A50="","",IFERROR(INDEX('Fragrance Projects'!$C$5:$C$64,MATCH($A50,'Fragrance Projects'!$A$5:$A$64,0)),""))</f>
        <v/>
      </c>
      <c r="C50" s="19" t="str">
        <f aca="false">IF($A50="","",IFERROR(INDEX('Fragrance Projects'!$D$5:$D$64,MATCH($A50,'Fragrance Projects'!$A$5:$A$64,0)),""))</f>
        <v/>
      </c>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6"/>
      <c r="AH50" s="36"/>
      <c r="AI50" s="36"/>
      <c r="AJ50" s="36"/>
      <c r="AK50" s="36"/>
      <c r="AL50" s="36"/>
      <c r="AM50" s="36"/>
      <c r="AN50" s="36"/>
      <c r="AO50" s="36"/>
      <c r="AP50" s="36"/>
      <c r="AQ50" s="36"/>
    </row>
    <row r="51" customFormat="false" ht="60" hidden="false" customHeight="true" outlineLevel="0" collapsed="false">
      <c r="A51" s="34"/>
      <c r="B51" s="19" t="str">
        <f aca="false">IF($A51="","",IFERROR(INDEX('Fragrance Projects'!$C$5:$C$64,MATCH($A51,'Fragrance Projects'!$A$5:$A$64,0)),""))</f>
        <v/>
      </c>
      <c r="C51" s="19" t="str">
        <f aca="false">IF($A51="","",IFERROR(INDEX('Fragrance Projects'!$D$5:$D$64,MATCH($A51,'Fragrance Projects'!$A$5:$A$64,0)),""))</f>
        <v/>
      </c>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6"/>
      <c r="AH51" s="36"/>
      <c r="AI51" s="36"/>
      <c r="AJ51" s="36"/>
      <c r="AK51" s="36"/>
      <c r="AL51" s="36"/>
      <c r="AM51" s="36"/>
      <c r="AN51" s="36"/>
      <c r="AO51" s="36"/>
      <c r="AP51" s="36"/>
      <c r="AQ51" s="36"/>
    </row>
    <row r="52" customFormat="false" ht="60" hidden="false" customHeight="true" outlineLevel="0" collapsed="false">
      <c r="A52" s="34"/>
      <c r="B52" s="19" t="str">
        <f aca="false">IF($A52="","",IFERROR(INDEX('Fragrance Projects'!$C$5:$C$64,MATCH($A52,'Fragrance Projects'!$A$5:$A$64,0)),""))</f>
        <v/>
      </c>
      <c r="C52" s="19" t="str">
        <f aca="false">IF($A52="","",IFERROR(INDEX('Fragrance Projects'!$D$5:$D$64,MATCH($A52,'Fragrance Projects'!$A$5:$A$64,0)),""))</f>
        <v/>
      </c>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6"/>
      <c r="AH52" s="36"/>
      <c r="AI52" s="36"/>
      <c r="AJ52" s="36"/>
      <c r="AK52" s="36"/>
      <c r="AL52" s="36"/>
      <c r="AM52" s="36"/>
      <c r="AN52" s="36"/>
      <c r="AO52" s="36"/>
      <c r="AP52" s="36"/>
      <c r="AQ52" s="36"/>
    </row>
    <row r="53" customFormat="false" ht="60" hidden="false" customHeight="true" outlineLevel="0" collapsed="false">
      <c r="A53" s="34"/>
      <c r="B53" s="19" t="str">
        <f aca="false">IF($A53="","",IFERROR(INDEX('Fragrance Projects'!$C$5:$C$64,MATCH($A53,'Fragrance Projects'!$A$5:$A$64,0)),""))</f>
        <v/>
      </c>
      <c r="C53" s="19" t="str">
        <f aca="false">IF($A53="","",IFERROR(INDEX('Fragrance Projects'!$D$5:$D$64,MATCH($A53,'Fragrance Projects'!$A$5:$A$64,0)),""))</f>
        <v/>
      </c>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6"/>
      <c r="AH53" s="36"/>
      <c r="AI53" s="36"/>
      <c r="AJ53" s="36"/>
      <c r="AK53" s="36"/>
      <c r="AL53" s="36"/>
      <c r="AM53" s="36"/>
      <c r="AN53" s="36"/>
      <c r="AO53" s="36"/>
      <c r="AP53" s="36"/>
      <c r="AQ53" s="36"/>
    </row>
    <row r="54" customFormat="false" ht="60" hidden="false" customHeight="true" outlineLevel="0" collapsed="false">
      <c r="A54" s="34"/>
      <c r="B54" s="19" t="str">
        <f aca="false">IF($A54="","",IFERROR(INDEX('Fragrance Projects'!$C$5:$C$64,MATCH($A54,'Fragrance Projects'!$A$5:$A$64,0)),""))</f>
        <v/>
      </c>
      <c r="C54" s="19" t="str">
        <f aca="false">IF($A54="","",IFERROR(INDEX('Fragrance Projects'!$D$5:$D$64,MATCH($A54,'Fragrance Projects'!$A$5:$A$64,0)),""))</f>
        <v/>
      </c>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6"/>
      <c r="AH54" s="36"/>
      <c r="AI54" s="36"/>
      <c r="AJ54" s="36"/>
      <c r="AK54" s="36"/>
      <c r="AL54" s="36"/>
      <c r="AM54" s="36"/>
      <c r="AN54" s="36"/>
      <c r="AO54" s="36"/>
      <c r="AP54" s="36"/>
      <c r="AQ54" s="36"/>
    </row>
    <row r="55" customFormat="false" ht="60" hidden="false" customHeight="true" outlineLevel="0" collapsed="false">
      <c r="A55" s="34"/>
      <c r="B55" s="19" t="str">
        <f aca="false">IF($A55="","",IFERROR(INDEX('Fragrance Projects'!$C$5:$C$64,MATCH($A55,'Fragrance Projects'!$A$5:$A$64,0)),""))</f>
        <v/>
      </c>
      <c r="C55" s="19" t="str">
        <f aca="false">IF($A55="","",IFERROR(INDEX('Fragrance Projects'!$D$5:$D$64,MATCH($A55,'Fragrance Projects'!$A$5:$A$64,0)),""))</f>
        <v/>
      </c>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6"/>
      <c r="AH55" s="36"/>
      <c r="AI55" s="36"/>
      <c r="AJ55" s="36"/>
      <c r="AK55" s="36"/>
      <c r="AL55" s="36"/>
      <c r="AM55" s="36"/>
      <c r="AN55" s="36"/>
      <c r="AO55" s="36"/>
      <c r="AP55" s="36"/>
      <c r="AQ55" s="36"/>
    </row>
    <row r="56" customFormat="false" ht="60" hidden="false" customHeight="true" outlineLevel="0" collapsed="false">
      <c r="A56" s="34"/>
      <c r="B56" s="19" t="str">
        <f aca="false">IF($A56="","",IFERROR(INDEX('Fragrance Projects'!$C$5:$C$64,MATCH($A56,'Fragrance Projects'!$A$5:$A$64,0)),""))</f>
        <v/>
      </c>
      <c r="C56" s="19" t="str">
        <f aca="false">IF($A56="","",IFERROR(INDEX('Fragrance Projects'!$D$5:$D$64,MATCH($A56,'Fragrance Projects'!$A$5:$A$64,0)),""))</f>
        <v/>
      </c>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6"/>
      <c r="AH56" s="36"/>
      <c r="AI56" s="36"/>
      <c r="AJ56" s="36"/>
      <c r="AK56" s="36"/>
      <c r="AL56" s="36"/>
      <c r="AM56" s="36"/>
      <c r="AN56" s="36"/>
      <c r="AO56" s="36"/>
      <c r="AP56" s="36"/>
      <c r="AQ56" s="36"/>
    </row>
    <row r="57" customFormat="false" ht="60" hidden="false" customHeight="true" outlineLevel="0" collapsed="false">
      <c r="A57" s="34"/>
      <c r="B57" s="19" t="str">
        <f aca="false">IF($A57="","",IFERROR(INDEX('Fragrance Projects'!$C$5:$C$64,MATCH($A57,'Fragrance Projects'!$A$5:$A$64,0)),""))</f>
        <v/>
      </c>
      <c r="C57" s="19" t="str">
        <f aca="false">IF($A57="","",IFERROR(INDEX('Fragrance Projects'!$D$5:$D$64,MATCH($A57,'Fragrance Projects'!$A$5:$A$64,0)),""))</f>
        <v/>
      </c>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6"/>
      <c r="AH57" s="36"/>
      <c r="AI57" s="36"/>
      <c r="AJ57" s="36"/>
      <c r="AK57" s="36"/>
      <c r="AL57" s="36"/>
      <c r="AM57" s="36"/>
      <c r="AN57" s="36"/>
      <c r="AO57" s="36"/>
      <c r="AP57" s="36"/>
      <c r="AQ57" s="36"/>
    </row>
    <row r="58" customFormat="false" ht="60" hidden="false" customHeight="true" outlineLevel="0" collapsed="false">
      <c r="A58" s="34"/>
      <c r="B58" s="19" t="str">
        <f aca="false">IF($A58="","",IFERROR(INDEX('Fragrance Projects'!$C$5:$C$64,MATCH($A58,'Fragrance Projects'!$A$5:$A$64,0)),""))</f>
        <v/>
      </c>
      <c r="C58" s="19" t="str">
        <f aca="false">IF($A58="","",IFERROR(INDEX('Fragrance Projects'!$D$5:$D$64,MATCH($A58,'Fragrance Projects'!$A$5:$A$64,0)),""))</f>
        <v/>
      </c>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6"/>
      <c r="AH58" s="36"/>
      <c r="AI58" s="36"/>
      <c r="AJ58" s="36"/>
      <c r="AK58" s="36"/>
      <c r="AL58" s="36"/>
      <c r="AM58" s="36"/>
      <c r="AN58" s="36"/>
      <c r="AO58" s="36"/>
      <c r="AP58" s="36"/>
      <c r="AQ58" s="36"/>
    </row>
    <row r="59" customFormat="false" ht="60" hidden="false" customHeight="true" outlineLevel="0" collapsed="false">
      <c r="A59" s="34"/>
      <c r="B59" s="19" t="str">
        <f aca="false">IF($A59="","",IFERROR(INDEX('Fragrance Projects'!$C$5:$C$64,MATCH($A59,'Fragrance Projects'!$A$5:$A$64,0)),""))</f>
        <v/>
      </c>
      <c r="C59" s="19" t="str">
        <f aca="false">IF($A59="","",IFERROR(INDEX('Fragrance Projects'!$D$5:$D$64,MATCH($A59,'Fragrance Projects'!$A$5:$A$64,0)),""))</f>
        <v/>
      </c>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6"/>
      <c r="AH59" s="36"/>
      <c r="AI59" s="36"/>
      <c r="AJ59" s="36"/>
      <c r="AK59" s="36"/>
      <c r="AL59" s="36"/>
      <c r="AM59" s="36"/>
      <c r="AN59" s="36"/>
      <c r="AO59" s="36"/>
      <c r="AP59" s="36"/>
      <c r="AQ59" s="36"/>
    </row>
    <row r="60" customFormat="false" ht="60" hidden="false" customHeight="true" outlineLevel="0" collapsed="false">
      <c r="A60" s="34"/>
      <c r="B60" s="19" t="str">
        <f aca="false">IF($A60="","",IFERROR(INDEX('Fragrance Projects'!$C$5:$C$64,MATCH($A60,'Fragrance Projects'!$A$5:$A$64,0)),""))</f>
        <v/>
      </c>
      <c r="C60" s="19" t="str">
        <f aca="false">IF($A60="","",IFERROR(INDEX('Fragrance Projects'!$D$5:$D$64,MATCH($A60,'Fragrance Projects'!$A$5:$A$64,0)),""))</f>
        <v/>
      </c>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6"/>
      <c r="AH60" s="36"/>
      <c r="AI60" s="36"/>
      <c r="AJ60" s="36"/>
      <c r="AK60" s="36"/>
      <c r="AL60" s="36"/>
      <c r="AM60" s="36"/>
      <c r="AN60" s="36"/>
      <c r="AO60" s="36"/>
      <c r="AP60" s="36"/>
      <c r="AQ60" s="36"/>
    </row>
    <row r="61" customFormat="false" ht="60" hidden="false" customHeight="true" outlineLevel="0" collapsed="false">
      <c r="A61" s="34"/>
      <c r="B61" s="19" t="str">
        <f aca="false">IF($A61="","",IFERROR(INDEX('Fragrance Projects'!$C$5:$C$64,MATCH($A61,'Fragrance Projects'!$A$5:$A$64,0)),""))</f>
        <v/>
      </c>
      <c r="C61" s="19" t="str">
        <f aca="false">IF($A61="","",IFERROR(INDEX('Fragrance Projects'!$D$5:$D$64,MATCH($A61,'Fragrance Projects'!$A$5:$A$64,0)),""))</f>
        <v/>
      </c>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6"/>
      <c r="AH61" s="36"/>
      <c r="AI61" s="36"/>
      <c r="AJ61" s="36"/>
      <c r="AK61" s="36"/>
      <c r="AL61" s="36"/>
      <c r="AM61" s="36"/>
      <c r="AN61" s="36"/>
      <c r="AO61" s="36"/>
      <c r="AP61" s="36"/>
      <c r="AQ61" s="36"/>
    </row>
    <row r="62" customFormat="false" ht="60" hidden="false" customHeight="true" outlineLevel="0" collapsed="false">
      <c r="A62" s="34"/>
      <c r="B62" s="19" t="str">
        <f aca="false">IF($A62="","",IFERROR(INDEX('Fragrance Projects'!$C$5:$C$64,MATCH($A62,'Fragrance Projects'!$A$5:$A$64,0)),""))</f>
        <v/>
      </c>
      <c r="C62" s="19" t="str">
        <f aca="false">IF($A62="","",IFERROR(INDEX('Fragrance Projects'!$D$5:$D$64,MATCH($A62,'Fragrance Projects'!$A$5:$A$64,0)),""))</f>
        <v/>
      </c>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6"/>
      <c r="AH62" s="36"/>
      <c r="AI62" s="36"/>
      <c r="AJ62" s="36"/>
      <c r="AK62" s="36"/>
      <c r="AL62" s="36"/>
      <c r="AM62" s="36"/>
      <c r="AN62" s="36"/>
      <c r="AO62" s="36"/>
      <c r="AP62" s="36"/>
      <c r="AQ62" s="36"/>
    </row>
    <row r="63" customFormat="false" ht="60" hidden="false" customHeight="true" outlineLevel="0" collapsed="false">
      <c r="A63" s="34"/>
      <c r="B63" s="19" t="str">
        <f aca="false">IF($A63="","",IFERROR(INDEX('Fragrance Projects'!$C$5:$C$64,MATCH($A63,'Fragrance Projects'!$A$5:$A$64,0)),""))</f>
        <v/>
      </c>
      <c r="C63" s="19" t="str">
        <f aca="false">IF($A63="","",IFERROR(INDEX('Fragrance Projects'!$D$5:$D$64,MATCH($A63,'Fragrance Projects'!$A$5:$A$64,0)),""))</f>
        <v/>
      </c>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6"/>
      <c r="AH63" s="36"/>
      <c r="AI63" s="36"/>
      <c r="AJ63" s="36"/>
      <c r="AK63" s="36"/>
      <c r="AL63" s="36"/>
      <c r="AM63" s="36"/>
      <c r="AN63" s="36"/>
      <c r="AO63" s="36"/>
      <c r="AP63" s="36"/>
      <c r="AQ63" s="36"/>
    </row>
    <row r="64" customFormat="false" ht="60" hidden="false" customHeight="true" outlineLevel="0" collapsed="false">
      <c r="A64" s="34"/>
      <c r="B64" s="19" t="str">
        <f aca="false">IF($A64="","",IFERROR(INDEX('Fragrance Projects'!$C$5:$C$64,MATCH($A64,'Fragrance Projects'!$A$5:$A$64,0)),""))</f>
        <v/>
      </c>
      <c r="C64" s="19" t="str">
        <f aca="false">IF($A64="","",IFERROR(INDEX('Fragrance Projects'!$D$5:$D$64,MATCH($A64,'Fragrance Projects'!$A$5:$A$64,0)),""))</f>
        <v/>
      </c>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6"/>
      <c r="AH64" s="36"/>
      <c r="AI64" s="36"/>
      <c r="AJ64" s="36"/>
      <c r="AK64" s="36"/>
      <c r="AL64" s="36"/>
      <c r="AM64" s="36"/>
      <c r="AN64" s="36"/>
      <c r="AO64" s="36"/>
      <c r="AP64" s="36"/>
      <c r="AQ64" s="36"/>
    </row>
  </sheetData>
  <sheetProtection sheet="true" formatCells="false" formatColumns="false" formatRows="false" insertRows="false" sort="false" autoFilter="false"/>
  <mergeCells count="5">
    <mergeCell ref="A1:AR1"/>
    <mergeCell ref="A2:AR2"/>
    <mergeCell ref="B3:C3"/>
    <mergeCell ref="F3:G3"/>
    <mergeCell ref="J3:K3"/>
  </mergeCells>
  <dataValidations count="9">
    <dataValidation allowBlank="true" error="Please choose a value from the dropdown list." errorStyle="stop" errorTitle="Invalid entry" operator="between" showDropDown="false" showErrorMessage="true" showInputMessage="false" sqref="A5:A64" type="list">
      <formula1>'Fragrance Projects'!$A$5:$A$64</formula1>
      <formula2>0</formula2>
    </dataValidation>
    <dataValidation allowBlank="true" error="Please choose a value from the dropdown list." errorStyle="stop" errorTitle="Invalid entry" operator="between" showDropDown="false" showErrorMessage="true" showInputMessage="false" sqref="E5:E64" type="list">
      <formula1>Lists!$L$2:$L$5</formula1>
      <formula2>0</formula2>
    </dataValidation>
    <dataValidation allowBlank="true" error="Please choose a value from the dropdown list." errorStyle="stop" errorTitle="Invalid entry" operator="between" showDropDown="false" showErrorMessage="true" showInputMessage="false" sqref="I5:I64" type="list">
      <formula1>Lists!$M$2:$M$6</formula1>
      <formula2>0</formula2>
    </dataValidation>
    <dataValidation allowBlank="true" error="Please choose a value from the dropdown list." errorStyle="stop" errorTitle="Invalid entry" operator="between" showDropDown="false" showErrorMessage="true" showInputMessage="false" sqref="K5:K64" type="list">
      <formula1>Lists!$N$2:$N$7</formula1>
      <formula2>0</formula2>
    </dataValidation>
    <dataValidation allowBlank="true" error="Please choose a value from the dropdown list." errorStyle="stop" errorTitle="Invalid entry" operator="between" showDropDown="false" showErrorMessage="true" showInputMessage="false" sqref="T5:T64" type="list">
      <formula1>Lists!$O$2:$O$11</formula1>
      <formula2>0</formula2>
    </dataValidation>
    <dataValidation allowBlank="true" error="Please choose a value from the dropdown list." errorStyle="stop" errorTitle="Invalid entry" operator="between" showDropDown="false" showErrorMessage="true" showInputMessage="false" sqref="AC5:AC64" type="list">
      <formula1>Lists!$P$2:$P$6</formula1>
      <formula2>0</formula2>
    </dataValidation>
    <dataValidation allowBlank="true" error="Please choose a value from the dropdown list." errorStyle="stop" errorTitle="Invalid entry" operator="between" showDropDown="false" showErrorMessage="true" showInputMessage="false" sqref="AD5:AD64" type="list">
      <formula1>Lists!$Q$2:$Q$6</formula1>
      <formula2>0</formula2>
    </dataValidation>
    <dataValidation allowBlank="true" error="Please choose a value from the dropdown list." errorStyle="stop" errorTitle="Invalid entry" operator="between" showDropDown="false" showErrorMessage="true" showInputMessage="false" sqref="AE5:AE64" type="list">
      <formula1>Lists!$R$2:$R$4</formula1>
      <formula2>0</formula2>
    </dataValidation>
    <dataValidation allowBlank="true" error="Please choose a value from the dropdown list." errorStyle="stop" errorTitle="Invalid entry" operator="between" showDropDown="false" showErrorMessage="true" showInputMessage="false" sqref="AF5:AF64" type="list">
      <formula1>Lists!$S$2:$S$4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5"/>
    <col collapsed="false" customWidth="true" hidden="false" outlineLevel="0" max="3" min="3" style="3" width="20"/>
    <col collapsed="false" customWidth="true" hidden="false" outlineLevel="0" max="4" min="4" style="3" width="9"/>
    <col collapsed="false" customWidth="true" hidden="false" outlineLevel="0" max="11" min="5" style="3" width="11"/>
    <col collapsed="false" customWidth="true" hidden="false" outlineLevel="0" max="13" min="12" style="3" width="9"/>
    <col collapsed="false" customWidth="true" hidden="false" outlineLevel="0" max="15" min="14" style="3" width="28"/>
    <col collapsed="false" customWidth="true" hidden="false" outlineLevel="0" max="17" min="16" style="3" width="22"/>
    <col collapsed="false" customWidth="true" hidden="false" outlineLevel="0" max="19" min="18" style="3" width="10"/>
    <col collapsed="false" customWidth="true" hidden="false" outlineLevel="0" max="20" min="20" style="3" width="9"/>
    <col collapsed="false" customWidth="true" hidden="false" outlineLevel="0" max="22" min="21" style="3" width="10"/>
    <col collapsed="false" customWidth="true" hidden="false" outlineLevel="0" max="23" min="23" style="3" width="9"/>
    <col collapsed="false" customWidth="true" hidden="false" outlineLevel="0" max="24" min="24" style="3" width="11"/>
  </cols>
  <sheetData>
    <row r="1" customFormat="false" ht="33.75" hidden="false" customHeight="true" outlineLevel="0" collapsed="false">
      <c r="A1" s="4" t="s">
        <v>276</v>
      </c>
      <c r="B1" s="4"/>
      <c r="C1" s="4"/>
      <c r="D1" s="4"/>
      <c r="E1" s="4"/>
      <c r="F1" s="4"/>
      <c r="G1" s="4"/>
      <c r="H1" s="4"/>
      <c r="I1" s="4"/>
      <c r="J1" s="4"/>
      <c r="K1" s="4"/>
      <c r="L1" s="4"/>
      <c r="M1" s="4"/>
      <c r="N1" s="4"/>
      <c r="O1" s="4"/>
      <c r="P1" s="4"/>
      <c r="Q1" s="4"/>
      <c r="R1" s="4"/>
      <c r="S1" s="4"/>
      <c r="T1" s="4"/>
      <c r="U1" s="4"/>
      <c r="V1" s="4"/>
      <c r="W1" s="4"/>
      <c r="X1" s="4"/>
    </row>
    <row r="2" customFormat="false" ht="19.5" hidden="false" customHeight="true" outlineLevel="0" collapsed="false">
      <c r="A2" s="25" t="s">
        <v>277</v>
      </c>
      <c r="B2" s="25"/>
      <c r="C2" s="25"/>
      <c r="D2" s="25"/>
      <c r="E2" s="25"/>
      <c r="F2" s="25"/>
      <c r="G2" s="25"/>
      <c r="H2" s="25"/>
      <c r="I2" s="25"/>
      <c r="J2" s="25"/>
      <c r="K2" s="25"/>
      <c r="L2" s="25"/>
      <c r="M2" s="25"/>
      <c r="N2" s="25"/>
      <c r="O2" s="25"/>
      <c r="P2" s="25"/>
      <c r="Q2" s="25"/>
      <c r="R2" s="25"/>
      <c r="S2" s="25"/>
      <c r="T2" s="25"/>
      <c r="U2" s="25"/>
      <c r="V2" s="25"/>
      <c r="W2" s="25"/>
      <c r="X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50</v>
      </c>
      <c r="C4" s="17" t="s">
        <v>157</v>
      </c>
      <c r="D4" s="17" t="s">
        <v>278</v>
      </c>
      <c r="E4" s="17" t="s">
        <v>279</v>
      </c>
      <c r="F4" s="17" t="s">
        <v>280</v>
      </c>
      <c r="G4" s="17" t="s">
        <v>281</v>
      </c>
      <c r="H4" s="17" t="s">
        <v>282</v>
      </c>
      <c r="I4" s="17" t="s">
        <v>283</v>
      </c>
      <c r="J4" s="17" t="s">
        <v>284</v>
      </c>
      <c r="K4" s="17" t="s">
        <v>285</v>
      </c>
      <c r="L4" s="17" t="s">
        <v>286</v>
      </c>
      <c r="M4" s="17" t="s">
        <v>287</v>
      </c>
      <c r="N4" s="17" t="s">
        <v>288</v>
      </c>
      <c r="O4" s="17" t="s">
        <v>289</v>
      </c>
      <c r="P4" s="17" t="s">
        <v>290</v>
      </c>
      <c r="Q4" s="17" t="s">
        <v>291</v>
      </c>
      <c r="R4" s="17" t="s">
        <v>292</v>
      </c>
      <c r="S4" s="17" t="s">
        <v>293</v>
      </c>
      <c r="T4" s="17" t="s">
        <v>294</v>
      </c>
      <c r="U4" s="17" t="s">
        <v>295</v>
      </c>
      <c r="V4" s="17" t="s">
        <v>296</v>
      </c>
      <c r="W4" s="17" t="s">
        <v>297</v>
      </c>
      <c r="X4" s="17" t="s">
        <v>298</v>
      </c>
    </row>
    <row r="5" customFormat="false" ht="30" hidden="false" customHeight="true" outlineLevel="0" collapsed="false">
      <c r="A5" s="30"/>
      <c r="B5" s="37" t="str">
        <f aca="false">IF($A5="","",IFERROR(INDEX('Fragrance Projects'!$C$5:$C$64,MATCH($A5,'Fragrance Projects'!$A$5:$A$64,0)),""))</f>
        <v/>
      </c>
      <c r="C5" s="37" t="str">
        <f aca="false">IF($A5="","",IFERROR(INDEX('Fragrance Projects'!$D$5:$D$64,MATCH($A5,'Fragrance Projects'!$A$5:$A$64,0)),""))</f>
        <v/>
      </c>
      <c r="D5" s="30"/>
      <c r="E5" s="30"/>
      <c r="F5" s="38"/>
      <c r="G5" s="38"/>
      <c r="H5" s="38"/>
      <c r="I5" s="38"/>
      <c r="J5" s="38"/>
      <c r="K5" s="38"/>
      <c r="L5" s="30"/>
      <c r="M5" s="30"/>
      <c r="N5" s="34"/>
      <c r="O5" s="34"/>
      <c r="P5" s="34"/>
      <c r="Q5" s="34"/>
      <c r="R5" s="30"/>
      <c r="S5" s="30"/>
      <c r="T5" s="30"/>
      <c r="U5" s="32"/>
      <c r="V5" s="32"/>
      <c r="W5" s="32"/>
      <c r="X5" s="33" t="str">
        <f aca="false">IF($A5="","",SUM($U5:$W5))</f>
        <v/>
      </c>
    </row>
    <row r="6" customFormat="false" ht="30" hidden="false" customHeight="true" outlineLevel="0" collapsed="false">
      <c r="A6" s="30"/>
      <c r="B6" s="37" t="str">
        <f aca="false">IF($A6="","",IFERROR(INDEX('Fragrance Projects'!$C$5:$C$64,MATCH($A6,'Fragrance Projects'!$A$5:$A$64,0)),""))</f>
        <v/>
      </c>
      <c r="C6" s="37" t="str">
        <f aca="false">IF($A6="","",IFERROR(INDEX('Fragrance Projects'!$D$5:$D$64,MATCH($A6,'Fragrance Projects'!$A$5:$A$64,0)),""))</f>
        <v/>
      </c>
      <c r="D6" s="30"/>
      <c r="E6" s="30"/>
      <c r="F6" s="38"/>
      <c r="G6" s="38"/>
      <c r="H6" s="38"/>
      <c r="I6" s="38"/>
      <c r="J6" s="38"/>
      <c r="K6" s="38"/>
      <c r="L6" s="30"/>
      <c r="M6" s="30"/>
      <c r="N6" s="34"/>
      <c r="O6" s="34"/>
      <c r="P6" s="34"/>
      <c r="Q6" s="34"/>
      <c r="R6" s="30"/>
      <c r="S6" s="30"/>
      <c r="T6" s="30"/>
      <c r="U6" s="32"/>
      <c r="V6" s="32"/>
      <c r="W6" s="32"/>
      <c r="X6" s="33" t="str">
        <f aca="false">IF($A6="","",SUM($U6:$W6))</f>
        <v/>
      </c>
    </row>
    <row r="7" customFormat="false" ht="30" hidden="false" customHeight="true" outlineLevel="0" collapsed="false">
      <c r="A7" s="30"/>
      <c r="B7" s="37" t="str">
        <f aca="false">IF($A7="","",IFERROR(INDEX('Fragrance Projects'!$C$5:$C$64,MATCH($A7,'Fragrance Projects'!$A$5:$A$64,0)),""))</f>
        <v/>
      </c>
      <c r="C7" s="37" t="str">
        <f aca="false">IF($A7="","",IFERROR(INDEX('Fragrance Projects'!$D$5:$D$64,MATCH($A7,'Fragrance Projects'!$A$5:$A$64,0)),""))</f>
        <v/>
      </c>
      <c r="D7" s="30"/>
      <c r="E7" s="30"/>
      <c r="F7" s="38"/>
      <c r="G7" s="38"/>
      <c r="H7" s="38"/>
      <c r="I7" s="38"/>
      <c r="J7" s="38"/>
      <c r="K7" s="38"/>
      <c r="L7" s="30"/>
      <c r="M7" s="30"/>
      <c r="N7" s="34"/>
      <c r="O7" s="34"/>
      <c r="P7" s="34"/>
      <c r="Q7" s="34"/>
      <c r="R7" s="30"/>
      <c r="S7" s="30"/>
      <c r="T7" s="30"/>
      <c r="U7" s="32"/>
      <c r="V7" s="32"/>
      <c r="W7" s="32"/>
      <c r="X7" s="33" t="str">
        <f aca="false">IF($A7="","",SUM($U7:$W7))</f>
        <v/>
      </c>
    </row>
    <row r="8" customFormat="false" ht="30" hidden="false" customHeight="true" outlineLevel="0" collapsed="false">
      <c r="A8" s="30"/>
      <c r="B8" s="37" t="str">
        <f aca="false">IF($A8="","",IFERROR(INDEX('Fragrance Projects'!$C$5:$C$64,MATCH($A8,'Fragrance Projects'!$A$5:$A$64,0)),""))</f>
        <v/>
      </c>
      <c r="C8" s="37" t="str">
        <f aca="false">IF($A8="","",IFERROR(INDEX('Fragrance Projects'!$D$5:$D$64,MATCH($A8,'Fragrance Projects'!$A$5:$A$64,0)),""))</f>
        <v/>
      </c>
      <c r="D8" s="30"/>
      <c r="E8" s="30"/>
      <c r="F8" s="38"/>
      <c r="G8" s="38"/>
      <c r="H8" s="38"/>
      <c r="I8" s="38"/>
      <c r="J8" s="38"/>
      <c r="K8" s="38"/>
      <c r="L8" s="30"/>
      <c r="M8" s="30"/>
      <c r="N8" s="34"/>
      <c r="O8" s="34"/>
      <c r="P8" s="34"/>
      <c r="Q8" s="34"/>
      <c r="R8" s="30"/>
      <c r="S8" s="30"/>
      <c r="T8" s="30"/>
      <c r="U8" s="32"/>
      <c r="V8" s="32"/>
      <c r="W8" s="32"/>
      <c r="X8" s="33" t="str">
        <f aca="false">IF($A8="","",SUM($U8:$W8))</f>
        <v/>
      </c>
    </row>
    <row r="9" customFormat="false" ht="30" hidden="false" customHeight="true" outlineLevel="0" collapsed="false">
      <c r="A9" s="30"/>
      <c r="B9" s="37" t="str">
        <f aca="false">IF($A9="","",IFERROR(INDEX('Fragrance Projects'!$C$5:$C$64,MATCH($A9,'Fragrance Projects'!$A$5:$A$64,0)),""))</f>
        <v/>
      </c>
      <c r="C9" s="37" t="str">
        <f aca="false">IF($A9="","",IFERROR(INDEX('Fragrance Projects'!$D$5:$D$64,MATCH($A9,'Fragrance Projects'!$A$5:$A$64,0)),""))</f>
        <v/>
      </c>
      <c r="D9" s="30"/>
      <c r="E9" s="30"/>
      <c r="F9" s="38"/>
      <c r="G9" s="38"/>
      <c r="H9" s="38"/>
      <c r="I9" s="38"/>
      <c r="J9" s="38"/>
      <c r="K9" s="38"/>
      <c r="L9" s="30"/>
      <c r="M9" s="30"/>
      <c r="N9" s="34"/>
      <c r="O9" s="34"/>
      <c r="P9" s="34"/>
      <c r="Q9" s="34"/>
      <c r="R9" s="30"/>
      <c r="S9" s="30"/>
      <c r="T9" s="30"/>
      <c r="U9" s="32"/>
      <c r="V9" s="32"/>
      <c r="W9" s="32"/>
      <c r="X9" s="33" t="str">
        <f aca="false">IF($A9="","",SUM($U9:$W9))</f>
        <v/>
      </c>
    </row>
    <row r="10" customFormat="false" ht="30" hidden="false" customHeight="true" outlineLevel="0" collapsed="false">
      <c r="A10" s="30"/>
      <c r="B10" s="37" t="str">
        <f aca="false">IF($A10="","",IFERROR(INDEX('Fragrance Projects'!$C$5:$C$64,MATCH($A10,'Fragrance Projects'!$A$5:$A$64,0)),""))</f>
        <v/>
      </c>
      <c r="C10" s="37" t="str">
        <f aca="false">IF($A10="","",IFERROR(INDEX('Fragrance Projects'!$D$5:$D$64,MATCH($A10,'Fragrance Projects'!$A$5:$A$64,0)),""))</f>
        <v/>
      </c>
      <c r="D10" s="30"/>
      <c r="E10" s="30"/>
      <c r="F10" s="38"/>
      <c r="G10" s="38"/>
      <c r="H10" s="38"/>
      <c r="I10" s="38"/>
      <c r="J10" s="38"/>
      <c r="K10" s="38"/>
      <c r="L10" s="30"/>
      <c r="M10" s="30"/>
      <c r="N10" s="34"/>
      <c r="O10" s="34"/>
      <c r="P10" s="34"/>
      <c r="Q10" s="34"/>
      <c r="R10" s="30"/>
      <c r="S10" s="30"/>
      <c r="T10" s="30"/>
      <c r="U10" s="32"/>
      <c r="V10" s="32"/>
      <c r="W10" s="32"/>
      <c r="X10" s="33" t="str">
        <f aca="false">IF($A10="","",SUM($U10:$W10))</f>
        <v/>
      </c>
    </row>
    <row r="11" customFormat="false" ht="30" hidden="false" customHeight="true" outlineLevel="0" collapsed="false">
      <c r="A11" s="30"/>
      <c r="B11" s="37" t="str">
        <f aca="false">IF($A11="","",IFERROR(INDEX('Fragrance Projects'!$C$5:$C$64,MATCH($A11,'Fragrance Projects'!$A$5:$A$64,0)),""))</f>
        <v/>
      </c>
      <c r="C11" s="37" t="str">
        <f aca="false">IF($A11="","",IFERROR(INDEX('Fragrance Projects'!$D$5:$D$64,MATCH($A11,'Fragrance Projects'!$A$5:$A$64,0)),""))</f>
        <v/>
      </c>
      <c r="D11" s="30"/>
      <c r="E11" s="30"/>
      <c r="F11" s="38"/>
      <c r="G11" s="38"/>
      <c r="H11" s="38"/>
      <c r="I11" s="38"/>
      <c r="J11" s="38"/>
      <c r="K11" s="38"/>
      <c r="L11" s="30"/>
      <c r="M11" s="30"/>
      <c r="N11" s="34"/>
      <c r="O11" s="34"/>
      <c r="P11" s="34"/>
      <c r="Q11" s="34"/>
      <c r="R11" s="30"/>
      <c r="S11" s="30"/>
      <c r="T11" s="30"/>
      <c r="U11" s="32"/>
      <c r="V11" s="32"/>
      <c r="W11" s="32"/>
      <c r="X11" s="33" t="str">
        <f aca="false">IF($A11="","",SUM($U11:$W11))</f>
        <v/>
      </c>
    </row>
    <row r="12" customFormat="false" ht="30" hidden="false" customHeight="true" outlineLevel="0" collapsed="false">
      <c r="A12" s="30"/>
      <c r="B12" s="37" t="str">
        <f aca="false">IF($A12="","",IFERROR(INDEX('Fragrance Projects'!$C$5:$C$64,MATCH($A12,'Fragrance Projects'!$A$5:$A$64,0)),""))</f>
        <v/>
      </c>
      <c r="C12" s="37" t="str">
        <f aca="false">IF($A12="","",IFERROR(INDEX('Fragrance Projects'!$D$5:$D$64,MATCH($A12,'Fragrance Projects'!$A$5:$A$64,0)),""))</f>
        <v/>
      </c>
      <c r="D12" s="30"/>
      <c r="E12" s="30"/>
      <c r="F12" s="38"/>
      <c r="G12" s="38"/>
      <c r="H12" s="38"/>
      <c r="I12" s="38"/>
      <c r="J12" s="38"/>
      <c r="K12" s="38"/>
      <c r="L12" s="30"/>
      <c r="M12" s="30"/>
      <c r="N12" s="34"/>
      <c r="O12" s="34"/>
      <c r="P12" s="34"/>
      <c r="Q12" s="34"/>
      <c r="R12" s="30"/>
      <c r="S12" s="30"/>
      <c r="T12" s="30"/>
      <c r="U12" s="32"/>
      <c r="V12" s="32"/>
      <c r="W12" s="32"/>
      <c r="X12" s="33" t="str">
        <f aca="false">IF($A12="","",SUM($U12:$W12))</f>
        <v/>
      </c>
    </row>
    <row r="13" customFormat="false" ht="30" hidden="false" customHeight="true" outlineLevel="0" collapsed="false">
      <c r="A13" s="30"/>
      <c r="B13" s="37" t="str">
        <f aca="false">IF($A13="","",IFERROR(INDEX('Fragrance Projects'!$C$5:$C$64,MATCH($A13,'Fragrance Projects'!$A$5:$A$64,0)),""))</f>
        <v/>
      </c>
      <c r="C13" s="37" t="str">
        <f aca="false">IF($A13="","",IFERROR(INDEX('Fragrance Projects'!$D$5:$D$64,MATCH($A13,'Fragrance Projects'!$A$5:$A$64,0)),""))</f>
        <v/>
      </c>
      <c r="D13" s="30"/>
      <c r="E13" s="30"/>
      <c r="F13" s="38"/>
      <c r="G13" s="38"/>
      <c r="H13" s="38"/>
      <c r="I13" s="38"/>
      <c r="J13" s="38"/>
      <c r="K13" s="38"/>
      <c r="L13" s="30"/>
      <c r="M13" s="30"/>
      <c r="N13" s="34"/>
      <c r="O13" s="34"/>
      <c r="P13" s="34"/>
      <c r="Q13" s="34"/>
      <c r="R13" s="30"/>
      <c r="S13" s="30"/>
      <c r="T13" s="30"/>
      <c r="U13" s="32"/>
      <c r="V13" s="32"/>
      <c r="W13" s="32"/>
      <c r="X13" s="33" t="str">
        <f aca="false">IF($A13="","",SUM($U13:$W13))</f>
        <v/>
      </c>
    </row>
    <row r="14" customFormat="false" ht="30" hidden="false" customHeight="true" outlineLevel="0" collapsed="false">
      <c r="A14" s="30"/>
      <c r="B14" s="37" t="str">
        <f aca="false">IF($A14="","",IFERROR(INDEX('Fragrance Projects'!$C$5:$C$64,MATCH($A14,'Fragrance Projects'!$A$5:$A$64,0)),""))</f>
        <v/>
      </c>
      <c r="C14" s="37" t="str">
        <f aca="false">IF($A14="","",IFERROR(INDEX('Fragrance Projects'!$D$5:$D$64,MATCH($A14,'Fragrance Projects'!$A$5:$A$64,0)),""))</f>
        <v/>
      </c>
      <c r="D14" s="30"/>
      <c r="E14" s="30"/>
      <c r="F14" s="38"/>
      <c r="G14" s="38"/>
      <c r="H14" s="38"/>
      <c r="I14" s="38"/>
      <c r="J14" s="38"/>
      <c r="K14" s="38"/>
      <c r="L14" s="30"/>
      <c r="M14" s="30"/>
      <c r="N14" s="34"/>
      <c r="O14" s="34"/>
      <c r="P14" s="34"/>
      <c r="Q14" s="34"/>
      <c r="R14" s="30"/>
      <c r="S14" s="30"/>
      <c r="T14" s="30"/>
      <c r="U14" s="32"/>
      <c r="V14" s="32"/>
      <c r="W14" s="32"/>
      <c r="X14" s="33" t="str">
        <f aca="false">IF($A14="","",SUM($U14:$W14))</f>
        <v/>
      </c>
    </row>
    <row r="15" customFormat="false" ht="30" hidden="false" customHeight="true" outlineLevel="0" collapsed="false">
      <c r="A15" s="30"/>
      <c r="B15" s="37" t="str">
        <f aca="false">IF($A15="","",IFERROR(INDEX('Fragrance Projects'!$C$5:$C$64,MATCH($A15,'Fragrance Projects'!$A$5:$A$64,0)),""))</f>
        <v/>
      </c>
      <c r="C15" s="37" t="str">
        <f aca="false">IF($A15="","",IFERROR(INDEX('Fragrance Projects'!$D$5:$D$64,MATCH($A15,'Fragrance Projects'!$A$5:$A$64,0)),""))</f>
        <v/>
      </c>
      <c r="D15" s="30"/>
      <c r="E15" s="30"/>
      <c r="F15" s="38"/>
      <c r="G15" s="38"/>
      <c r="H15" s="38"/>
      <c r="I15" s="38"/>
      <c r="J15" s="38"/>
      <c r="K15" s="38"/>
      <c r="L15" s="30"/>
      <c r="M15" s="30"/>
      <c r="N15" s="34"/>
      <c r="O15" s="34"/>
      <c r="P15" s="34"/>
      <c r="Q15" s="34"/>
      <c r="R15" s="30"/>
      <c r="S15" s="30"/>
      <c r="T15" s="30"/>
      <c r="U15" s="32"/>
      <c r="V15" s="32"/>
      <c r="W15" s="32"/>
      <c r="X15" s="33" t="str">
        <f aca="false">IF($A15="","",SUM($U15:$W15))</f>
        <v/>
      </c>
    </row>
    <row r="16" customFormat="false" ht="30" hidden="false" customHeight="true" outlineLevel="0" collapsed="false">
      <c r="A16" s="30"/>
      <c r="B16" s="37" t="str">
        <f aca="false">IF($A16="","",IFERROR(INDEX('Fragrance Projects'!$C$5:$C$64,MATCH($A16,'Fragrance Projects'!$A$5:$A$64,0)),""))</f>
        <v/>
      </c>
      <c r="C16" s="37" t="str">
        <f aca="false">IF($A16="","",IFERROR(INDEX('Fragrance Projects'!$D$5:$D$64,MATCH($A16,'Fragrance Projects'!$A$5:$A$64,0)),""))</f>
        <v/>
      </c>
      <c r="D16" s="30"/>
      <c r="E16" s="30"/>
      <c r="F16" s="38"/>
      <c r="G16" s="38"/>
      <c r="H16" s="38"/>
      <c r="I16" s="38"/>
      <c r="J16" s="38"/>
      <c r="K16" s="38"/>
      <c r="L16" s="30"/>
      <c r="M16" s="30"/>
      <c r="N16" s="34"/>
      <c r="O16" s="34"/>
      <c r="P16" s="34"/>
      <c r="Q16" s="34"/>
      <c r="R16" s="30"/>
      <c r="S16" s="30"/>
      <c r="T16" s="30"/>
      <c r="U16" s="32"/>
      <c r="V16" s="32"/>
      <c r="W16" s="32"/>
      <c r="X16" s="33" t="str">
        <f aca="false">IF($A16="","",SUM($U16:$W16))</f>
        <v/>
      </c>
    </row>
    <row r="17" customFormat="false" ht="30" hidden="false" customHeight="true" outlineLevel="0" collapsed="false">
      <c r="A17" s="30"/>
      <c r="B17" s="37" t="str">
        <f aca="false">IF($A17="","",IFERROR(INDEX('Fragrance Projects'!$C$5:$C$64,MATCH($A17,'Fragrance Projects'!$A$5:$A$64,0)),""))</f>
        <v/>
      </c>
      <c r="C17" s="37" t="str">
        <f aca="false">IF($A17="","",IFERROR(INDEX('Fragrance Projects'!$D$5:$D$64,MATCH($A17,'Fragrance Projects'!$A$5:$A$64,0)),""))</f>
        <v/>
      </c>
      <c r="D17" s="30"/>
      <c r="E17" s="30"/>
      <c r="F17" s="38"/>
      <c r="G17" s="38"/>
      <c r="H17" s="38"/>
      <c r="I17" s="38"/>
      <c r="J17" s="38"/>
      <c r="K17" s="38"/>
      <c r="L17" s="30"/>
      <c r="M17" s="30"/>
      <c r="N17" s="34"/>
      <c r="O17" s="34"/>
      <c r="P17" s="34"/>
      <c r="Q17" s="34"/>
      <c r="R17" s="30"/>
      <c r="S17" s="30"/>
      <c r="T17" s="30"/>
      <c r="U17" s="32"/>
      <c r="V17" s="32"/>
      <c r="W17" s="32"/>
      <c r="X17" s="33" t="str">
        <f aca="false">IF($A17="","",SUM($U17:$W17))</f>
        <v/>
      </c>
    </row>
    <row r="18" customFormat="false" ht="30" hidden="false" customHeight="true" outlineLevel="0" collapsed="false">
      <c r="A18" s="30"/>
      <c r="B18" s="37" t="str">
        <f aca="false">IF($A18="","",IFERROR(INDEX('Fragrance Projects'!$C$5:$C$64,MATCH($A18,'Fragrance Projects'!$A$5:$A$64,0)),""))</f>
        <v/>
      </c>
      <c r="C18" s="37" t="str">
        <f aca="false">IF($A18="","",IFERROR(INDEX('Fragrance Projects'!$D$5:$D$64,MATCH($A18,'Fragrance Projects'!$A$5:$A$64,0)),""))</f>
        <v/>
      </c>
      <c r="D18" s="30"/>
      <c r="E18" s="30"/>
      <c r="F18" s="38"/>
      <c r="G18" s="38"/>
      <c r="H18" s="38"/>
      <c r="I18" s="38"/>
      <c r="J18" s="38"/>
      <c r="K18" s="38"/>
      <c r="L18" s="30"/>
      <c r="M18" s="30"/>
      <c r="N18" s="34"/>
      <c r="O18" s="34"/>
      <c r="P18" s="34"/>
      <c r="Q18" s="34"/>
      <c r="R18" s="30"/>
      <c r="S18" s="30"/>
      <c r="T18" s="30"/>
      <c r="U18" s="32"/>
      <c r="V18" s="32"/>
      <c r="W18" s="32"/>
      <c r="X18" s="33" t="str">
        <f aca="false">IF($A18="","",SUM($U18:$W18))</f>
        <v/>
      </c>
    </row>
    <row r="19" customFormat="false" ht="30" hidden="false" customHeight="true" outlineLevel="0" collapsed="false">
      <c r="A19" s="30"/>
      <c r="B19" s="37" t="str">
        <f aca="false">IF($A19="","",IFERROR(INDEX('Fragrance Projects'!$C$5:$C$64,MATCH($A19,'Fragrance Projects'!$A$5:$A$64,0)),""))</f>
        <v/>
      </c>
      <c r="C19" s="37" t="str">
        <f aca="false">IF($A19="","",IFERROR(INDEX('Fragrance Projects'!$D$5:$D$64,MATCH($A19,'Fragrance Projects'!$A$5:$A$64,0)),""))</f>
        <v/>
      </c>
      <c r="D19" s="30"/>
      <c r="E19" s="30"/>
      <c r="F19" s="38"/>
      <c r="G19" s="38"/>
      <c r="H19" s="38"/>
      <c r="I19" s="38"/>
      <c r="J19" s="38"/>
      <c r="K19" s="38"/>
      <c r="L19" s="30"/>
      <c r="M19" s="30"/>
      <c r="N19" s="34"/>
      <c r="O19" s="34"/>
      <c r="P19" s="34"/>
      <c r="Q19" s="34"/>
      <c r="R19" s="30"/>
      <c r="S19" s="30"/>
      <c r="T19" s="30"/>
      <c r="U19" s="32"/>
      <c r="V19" s="32"/>
      <c r="W19" s="32"/>
      <c r="X19" s="33" t="str">
        <f aca="false">IF($A19="","",SUM($U19:$W19))</f>
        <v/>
      </c>
    </row>
    <row r="20" customFormat="false" ht="30" hidden="false" customHeight="true" outlineLevel="0" collapsed="false">
      <c r="A20" s="30"/>
      <c r="B20" s="37" t="str">
        <f aca="false">IF($A20="","",IFERROR(INDEX('Fragrance Projects'!$C$5:$C$64,MATCH($A20,'Fragrance Projects'!$A$5:$A$64,0)),""))</f>
        <v/>
      </c>
      <c r="C20" s="37" t="str">
        <f aca="false">IF($A20="","",IFERROR(INDEX('Fragrance Projects'!$D$5:$D$64,MATCH($A20,'Fragrance Projects'!$A$5:$A$64,0)),""))</f>
        <v/>
      </c>
      <c r="D20" s="30"/>
      <c r="E20" s="30"/>
      <c r="F20" s="38"/>
      <c r="G20" s="38"/>
      <c r="H20" s="38"/>
      <c r="I20" s="38"/>
      <c r="J20" s="38"/>
      <c r="K20" s="38"/>
      <c r="L20" s="30"/>
      <c r="M20" s="30"/>
      <c r="N20" s="34"/>
      <c r="O20" s="34"/>
      <c r="P20" s="34"/>
      <c r="Q20" s="34"/>
      <c r="R20" s="30"/>
      <c r="S20" s="30"/>
      <c r="T20" s="30"/>
      <c r="U20" s="32"/>
      <c r="V20" s="32"/>
      <c r="W20" s="32"/>
      <c r="X20" s="33" t="str">
        <f aca="false">IF($A20="","",SUM($U20:$W20))</f>
        <v/>
      </c>
    </row>
    <row r="21" customFormat="false" ht="30" hidden="false" customHeight="true" outlineLevel="0" collapsed="false">
      <c r="A21" s="30"/>
      <c r="B21" s="37" t="str">
        <f aca="false">IF($A21="","",IFERROR(INDEX('Fragrance Projects'!$C$5:$C$64,MATCH($A21,'Fragrance Projects'!$A$5:$A$64,0)),""))</f>
        <v/>
      </c>
      <c r="C21" s="37" t="str">
        <f aca="false">IF($A21="","",IFERROR(INDEX('Fragrance Projects'!$D$5:$D$64,MATCH($A21,'Fragrance Projects'!$A$5:$A$64,0)),""))</f>
        <v/>
      </c>
      <c r="D21" s="30"/>
      <c r="E21" s="30"/>
      <c r="F21" s="38"/>
      <c r="G21" s="38"/>
      <c r="H21" s="38"/>
      <c r="I21" s="38"/>
      <c r="J21" s="38"/>
      <c r="K21" s="38"/>
      <c r="L21" s="30"/>
      <c r="M21" s="30"/>
      <c r="N21" s="34"/>
      <c r="O21" s="34"/>
      <c r="P21" s="34"/>
      <c r="Q21" s="34"/>
      <c r="R21" s="30"/>
      <c r="S21" s="30"/>
      <c r="T21" s="30"/>
      <c r="U21" s="32"/>
      <c r="V21" s="32"/>
      <c r="W21" s="32"/>
      <c r="X21" s="33" t="str">
        <f aca="false">IF($A21="","",SUM($U21:$W21))</f>
        <v/>
      </c>
    </row>
    <row r="22" customFormat="false" ht="30" hidden="false" customHeight="true" outlineLevel="0" collapsed="false">
      <c r="A22" s="30"/>
      <c r="B22" s="37" t="str">
        <f aca="false">IF($A22="","",IFERROR(INDEX('Fragrance Projects'!$C$5:$C$64,MATCH($A22,'Fragrance Projects'!$A$5:$A$64,0)),""))</f>
        <v/>
      </c>
      <c r="C22" s="37" t="str">
        <f aca="false">IF($A22="","",IFERROR(INDEX('Fragrance Projects'!$D$5:$D$64,MATCH($A22,'Fragrance Projects'!$A$5:$A$64,0)),""))</f>
        <v/>
      </c>
      <c r="D22" s="30"/>
      <c r="E22" s="30"/>
      <c r="F22" s="38"/>
      <c r="G22" s="38"/>
      <c r="H22" s="38"/>
      <c r="I22" s="38"/>
      <c r="J22" s="38"/>
      <c r="K22" s="38"/>
      <c r="L22" s="30"/>
      <c r="M22" s="30"/>
      <c r="N22" s="34"/>
      <c r="O22" s="34"/>
      <c r="P22" s="34"/>
      <c r="Q22" s="34"/>
      <c r="R22" s="30"/>
      <c r="S22" s="30"/>
      <c r="T22" s="30"/>
      <c r="U22" s="32"/>
      <c r="V22" s="32"/>
      <c r="W22" s="32"/>
      <c r="X22" s="33" t="str">
        <f aca="false">IF($A22="","",SUM($U22:$W22))</f>
        <v/>
      </c>
    </row>
    <row r="23" customFormat="false" ht="30" hidden="false" customHeight="true" outlineLevel="0" collapsed="false">
      <c r="A23" s="30"/>
      <c r="B23" s="37" t="str">
        <f aca="false">IF($A23="","",IFERROR(INDEX('Fragrance Projects'!$C$5:$C$64,MATCH($A23,'Fragrance Projects'!$A$5:$A$64,0)),""))</f>
        <v/>
      </c>
      <c r="C23" s="37" t="str">
        <f aca="false">IF($A23="","",IFERROR(INDEX('Fragrance Projects'!$D$5:$D$64,MATCH($A23,'Fragrance Projects'!$A$5:$A$64,0)),""))</f>
        <v/>
      </c>
      <c r="D23" s="30"/>
      <c r="E23" s="30"/>
      <c r="F23" s="38"/>
      <c r="G23" s="38"/>
      <c r="H23" s="38"/>
      <c r="I23" s="38"/>
      <c r="J23" s="38"/>
      <c r="K23" s="38"/>
      <c r="L23" s="30"/>
      <c r="M23" s="30"/>
      <c r="N23" s="34"/>
      <c r="O23" s="34"/>
      <c r="P23" s="34"/>
      <c r="Q23" s="34"/>
      <c r="R23" s="30"/>
      <c r="S23" s="30"/>
      <c r="T23" s="30"/>
      <c r="U23" s="32"/>
      <c r="V23" s="32"/>
      <c r="W23" s="32"/>
      <c r="X23" s="33" t="str">
        <f aca="false">IF($A23="","",SUM($U23:$W23))</f>
        <v/>
      </c>
    </row>
    <row r="24" customFormat="false" ht="30" hidden="false" customHeight="true" outlineLevel="0" collapsed="false">
      <c r="A24" s="30"/>
      <c r="B24" s="37" t="str">
        <f aca="false">IF($A24="","",IFERROR(INDEX('Fragrance Projects'!$C$5:$C$64,MATCH($A24,'Fragrance Projects'!$A$5:$A$64,0)),""))</f>
        <v/>
      </c>
      <c r="C24" s="37" t="str">
        <f aca="false">IF($A24="","",IFERROR(INDEX('Fragrance Projects'!$D$5:$D$64,MATCH($A24,'Fragrance Projects'!$A$5:$A$64,0)),""))</f>
        <v/>
      </c>
      <c r="D24" s="30"/>
      <c r="E24" s="30"/>
      <c r="F24" s="38"/>
      <c r="G24" s="38"/>
      <c r="H24" s="38"/>
      <c r="I24" s="38"/>
      <c r="J24" s="38"/>
      <c r="K24" s="38"/>
      <c r="L24" s="30"/>
      <c r="M24" s="30"/>
      <c r="N24" s="34"/>
      <c r="O24" s="34"/>
      <c r="P24" s="34"/>
      <c r="Q24" s="34"/>
      <c r="R24" s="30"/>
      <c r="S24" s="30"/>
      <c r="T24" s="30"/>
      <c r="U24" s="32"/>
      <c r="V24" s="32"/>
      <c r="W24" s="32"/>
      <c r="X24" s="33" t="str">
        <f aca="false">IF($A24="","",SUM($U24:$W24))</f>
        <v/>
      </c>
    </row>
    <row r="25" customFormat="false" ht="30" hidden="false" customHeight="true" outlineLevel="0" collapsed="false">
      <c r="A25" s="30"/>
      <c r="B25" s="37" t="str">
        <f aca="false">IF($A25="","",IFERROR(INDEX('Fragrance Projects'!$C$5:$C$64,MATCH($A25,'Fragrance Projects'!$A$5:$A$64,0)),""))</f>
        <v/>
      </c>
      <c r="C25" s="37" t="str">
        <f aca="false">IF($A25="","",IFERROR(INDEX('Fragrance Projects'!$D$5:$D$64,MATCH($A25,'Fragrance Projects'!$A$5:$A$64,0)),""))</f>
        <v/>
      </c>
      <c r="D25" s="30"/>
      <c r="E25" s="30"/>
      <c r="F25" s="38"/>
      <c r="G25" s="38"/>
      <c r="H25" s="38"/>
      <c r="I25" s="38"/>
      <c r="J25" s="38"/>
      <c r="K25" s="38"/>
      <c r="L25" s="30"/>
      <c r="M25" s="30"/>
      <c r="N25" s="34"/>
      <c r="O25" s="34"/>
      <c r="P25" s="34"/>
      <c r="Q25" s="34"/>
      <c r="R25" s="30"/>
      <c r="S25" s="30"/>
      <c r="T25" s="30"/>
      <c r="U25" s="32"/>
      <c r="V25" s="32"/>
      <c r="W25" s="32"/>
      <c r="X25" s="33" t="str">
        <f aca="false">IF($A25="","",SUM($U25:$W25))</f>
        <v/>
      </c>
    </row>
    <row r="26" customFormat="false" ht="30" hidden="false" customHeight="true" outlineLevel="0" collapsed="false">
      <c r="A26" s="30"/>
      <c r="B26" s="37" t="str">
        <f aca="false">IF($A26="","",IFERROR(INDEX('Fragrance Projects'!$C$5:$C$64,MATCH($A26,'Fragrance Projects'!$A$5:$A$64,0)),""))</f>
        <v/>
      </c>
      <c r="C26" s="37" t="str">
        <f aca="false">IF($A26="","",IFERROR(INDEX('Fragrance Projects'!$D$5:$D$64,MATCH($A26,'Fragrance Projects'!$A$5:$A$64,0)),""))</f>
        <v/>
      </c>
      <c r="D26" s="30"/>
      <c r="E26" s="30"/>
      <c r="F26" s="38"/>
      <c r="G26" s="38"/>
      <c r="H26" s="38"/>
      <c r="I26" s="38"/>
      <c r="J26" s="38"/>
      <c r="K26" s="38"/>
      <c r="L26" s="30"/>
      <c r="M26" s="30"/>
      <c r="N26" s="34"/>
      <c r="O26" s="34"/>
      <c r="P26" s="34"/>
      <c r="Q26" s="34"/>
      <c r="R26" s="30"/>
      <c r="S26" s="30"/>
      <c r="T26" s="30"/>
      <c r="U26" s="32"/>
      <c r="V26" s="32"/>
      <c r="W26" s="32"/>
      <c r="X26" s="33" t="str">
        <f aca="false">IF($A26="","",SUM($U26:$W26))</f>
        <v/>
      </c>
    </row>
    <row r="27" customFormat="false" ht="30" hidden="false" customHeight="true" outlineLevel="0" collapsed="false">
      <c r="A27" s="30"/>
      <c r="B27" s="37" t="str">
        <f aca="false">IF($A27="","",IFERROR(INDEX('Fragrance Projects'!$C$5:$C$64,MATCH($A27,'Fragrance Projects'!$A$5:$A$64,0)),""))</f>
        <v/>
      </c>
      <c r="C27" s="37" t="str">
        <f aca="false">IF($A27="","",IFERROR(INDEX('Fragrance Projects'!$D$5:$D$64,MATCH($A27,'Fragrance Projects'!$A$5:$A$64,0)),""))</f>
        <v/>
      </c>
      <c r="D27" s="30"/>
      <c r="E27" s="30"/>
      <c r="F27" s="38"/>
      <c r="G27" s="38"/>
      <c r="H27" s="38"/>
      <c r="I27" s="38"/>
      <c r="J27" s="38"/>
      <c r="K27" s="38"/>
      <c r="L27" s="30"/>
      <c r="M27" s="30"/>
      <c r="N27" s="34"/>
      <c r="O27" s="34"/>
      <c r="P27" s="34"/>
      <c r="Q27" s="34"/>
      <c r="R27" s="30"/>
      <c r="S27" s="30"/>
      <c r="T27" s="30"/>
      <c r="U27" s="32"/>
      <c r="V27" s="32"/>
      <c r="W27" s="32"/>
      <c r="X27" s="33" t="str">
        <f aca="false">IF($A27="","",SUM($U27:$W27))</f>
        <v/>
      </c>
    </row>
    <row r="28" customFormat="false" ht="30" hidden="false" customHeight="true" outlineLevel="0" collapsed="false">
      <c r="A28" s="30"/>
      <c r="B28" s="37" t="str">
        <f aca="false">IF($A28="","",IFERROR(INDEX('Fragrance Projects'!$C$5:$C$64,MATCH($A28,'Fragrance Projects'!$A$5:$A$64,0)),""))</f>
        <v/>
      </c>
      <c r="C28" s="37" t="str">
        <f aca="false">IF($A28="","",IFERROR(INDEX('Fragrance Projects'!$D$5:$D$64,MATCH($A28,'Fragrance Projects'!$A$5:$A$64,0)),""))</f>
        <v/>
      </c>
      <c r="D28" s="30"/>
      <c r="E28" s="30"/>
      <c r="F28" s="38"/>
      <c r="G28" s="38"/>
      <c r="H28" s="38"/>
      <c r="I28" s="38"/>
      <c r="J28" s="38"/>
      <c r="K28" s="38"/>
      <c r="L28" s="30"/>
      <c r="M28" s="30"/>
      <c r="N28" s="34"/>
      <c r="O28" s="34"/>
      <c r="P28" s="34"/>
      <c r="Q28" s="34"/>
      <c r="R28" s="30"/>
      <c r="S28" s="30"/>
      <c r="T28" s="30"/>
      <c r="U28" s="32"/>
      <c r="V28" s="32"/>
      <c r="W28" s="32"/>
      <c r="X28" s="33" t="str">
        <f aca="false">IF($A28="","",SUM($U28:$W28))</f>
        <v/>
      </c>
    </row>
    <row r="29" customFormat="false" ht="30" hidden="false" customHeight="true" outlineLevel="0" collapsed="false">
      <c r="A29" s="30"/>
      <c r="B29" s="37" t="str">
        <f aca="false">IF($A29="","",IFERROR(INDEX('Fragrance Projects'!$C$5:$C$64,MATCH($A29,'Fragrance Projects'!$A$5:$A$64,0)),""))</f>
        <v/>
      </c>
      <c r="C29" s="37" t="str">
        <f aca="false">IF($A29="","",IFERROR(INDEX('Fragrance Projects'!$D$5:$D$64,MATCH($A29,'Fragrance Projects'!$A$5:$A$64,0)),""))</f>
        <v/>
      </c>
      <c r="D29" s="30"/>
      <c r="E29" s="30"/>
      <c r="F29" s="38"/>
      <c r="G29" s="38"/>
      <c r="H29" s="38"/>
      <c r="I29" s="38"/>
      <c r="J29" s="38"/>
      <c r="K29" s="38"/>
      <c r="L29" s="30"/>
      <c r="M29" s="30"/>
      <c r="N29" s="34"/>
      <c r="O29" s="34"/>
      <c r="P29" s="34"/>
      <c r="Q29" s="34"/>
      <c r="R29" s="30"/>
      <c r="S29" s="30"/>
      <c r="T29" s="30"/>
      <c r="U29" s="32"/>
      <c r="V29" s="32"/>
      <c r="W29" s="32"/>
      <c r="X29" s="33" t="str">
        <f aca="false">IF($A29="","",SUM($U29:$W29))</f>
        <v/>
      </c>
    </row>
    <row r="30" customFormat="false" ht="30" hidden="false" customHeight="true" outlineLevel="0" collapsed="false">
      <c r="A30" s="30"/>
      <c r="B30" s="37" t="str">
        <f aca="false">IF($A30="","",IFERROR(INDEX('Fragrance Projects'!$C$5:$C$64,MATCH($A30,'Fragrance Projects'!$A$5:$A$64,0)),""))</f>
        <v/>
      </c>
      <c r="C30" s="37" t="str">
        <f aca="false">IF($A30="","",IFERROR(INDEX('Fragrance Projects'!$D$5:$D$64,MATCH($A30,'Fragrance Projects'!$A$5:$A$64,0)),""))</f>
        <v/>
      </c>
      <c r="D30" s="30"/>
      <c r="E30" s="30"/>
      <c r="F30" s="38"/>
      <c r="G30" s="38"/>
      <c r="H30" s="38"/>
      <c r="I30" s="38"/>
      <c r="J30" s="38"/>
      <c r="K30" s="38"/>
      <c r="L30" s="30"/>
      <c r="M30" s="30"/>
      <c r="N30" s="34"/>
      <c r="O30" s="34"/>
      <c r="P30" s="34"/>
      <c r="Q30" s="34"/>
      <c r="R30" s="30"/>
      <c r="S30" s="30"/>
      <c r="T30" s="30"/>
      <c r="U30" s="32"/>
      <c r="V30" s="32"/>
      <c r="W30" s="32"/>
      <c r="X30" s="33" t="str">
        <f aca="false">IF($A30="","",SUM($U30:$W30))</f>
        <v/>
      </c>
    </row>
    <row r="31" customFormat="false" ht="30" hidden="false" customHeight="true" outlineLevel="0" collapsed="false">
      <c r="A31" s="30"/>
      <c r="B31" s="37" t="str">
        <f aca="false">IF($A31="","",IFERROR(INDEX('Fragrance Projects'!$C$5:$C$64,MATCH($A31,'Fragrance Projects'!$A$5:$A$64,0)),""))</f>
        <v/>
      </c>
      <c r="C31" s="37" t="str">
        <f aca="false">IF($A31="","",IFERROR(INDEX('Fragrance Projects'!$D$5:$D$64,MATCH($A31,'Fragrance Projects'!$A$5:$A$64,0)),""))</f>
        <v/>
      </c>
      <c r="D31" s="30"/>
      <c r="E31" s="30"/>
      <c r="F31" s="38"/>
      <c r="G31" s="38"/>
      <c r="H31" s="38"/>
      <c r="I31" s="38"/>
      <c r="J31" s="38"/>
      <c r="K31" s="38"/>
      <c r="L31" s="30"/>
      <c r="M31" s="30"/>
      <c r="N31" s="34"/>
      <c r="O31" s="34"/>
      <c r="P31" s="34"/>
      <c r="Q31" s="34"/>
      <c r="R31" s="30"/>
      <c r="S31" s="30"/>
      <c r="T31" s="30"/>
      <c r="U31" s="32"/>
      <c r="V31" s="32"/>
      <c r="W31" s="32"/>
      <c r="X31" s="33" t="str">
        <f aca="false">IF($A31="","",SUM($U31:$W31))</f>
        <v/>
      </c>
    </row>
    <row r="32" customFormat="false" ht="30" hidden="false" customHeight="true" outlineLevel="0" collapsed="false">
      <c r="A32" s="30"/>
      <c r="B32" s="37" t="str">
        <f aca="false">IF($A32="","",IFERROR(INDEX('Fragrance Projects'!$C$5:$C$64,MATCH($A32,'Fragrance Projects'!$A$5:$A$64,0)),""))</f>
        <v/>
      </c>
      <c r="C32" s="37" t="str">
        <f aca="false">IF($A32="","",IFERROR(INDEX('Fragrance Projects'!$D$5:$D$64,MATCH($A32,'Fragrance Projects'!$A$5:$A$64,0)),""))</f>
        <v/>
      </c>
      <c r="D32" s="30"/>
      <c r="E32" s="30"/>
      <c r="F32" s="38"/>
      <c r="G32" s="38"/>
      <c r="H32" s="38"/>
      <c r="I32" s="38"/>
      <c r="J32" s="38"/>
      <c r="K32" s="38"/>
      <c r="L32" s="30"/>
      <c r="M32" s="30"/>
      <c r="N32" s="34"/>
      <c r="O32" s="34"/>
      <c r="P32" s="34"/>
      <c r="Q32" s="34"/>
      <c r="R32" s="30"/>
      <c r="S32" s="30"/>
      <c r="T32" s="30"/>
      <c r="U32" s="32"/>
      <c r="V32" s="32"/>
      <c r="W32" s="32"/>
      <c r="X32" s="33" t="str">
        <f aca="false">IF($A32="","",SUM($U32:$W32))</f>
        <v/>
      </c>
    </row>
    <row r="33" customFormat="false" ht="30" hidden="false" customHeight="true" outlineLevel="0" collapsed="false">
      <c r="A33" s="30"/>
      <c r="B33" s="37" t="str">
        <f aca="false">IF($A33="","",IFERROR(INDEX('Fragrance Projects'!$C$5:$C$64,MATCH($A33,'Fragrance Projects'!$A$5:$A$64,0)),""))</f>
        <v/>
      </c>
      <c r="C33" s="37" t="str">
        <f aca="false">IF($A33="","",IFERROR(INDEX('Fragrance Projects'!$D$5:$D$64,MATCH($A33,'Fragrance Projects'!$A$5:$A$64,0)),""))</f>
        <v/>
      </c>
      <c r="D33" s="30"/>
      <c r="E33" s="30"/>
      <c r="F33" s="38"/>
      <c r="G33" s="38"/>
      <c r="H33" s="38"/>
      <c r="I33" s="38"/>
      <c r="J33" s="38"/>
      <c r="K33" s="38"/>
      <c r="L33" s="30"/>
      <c r="M33" s="30"/>
      <c r="N33" s="34"/>
      <c r="O33" s="34"/>
      <c r="P33" s="34"/>
      <c r="Q33" s="34"/>
      <c r="R33" s="30"/>
      <c r="S33" s="30"/>
      <c r="T33" s="30"/>
      <c r="U33" s="32"/>
      <c r="V33" s="32"/>
      <c r="W33" s="32"/>
      <c r="X33" s="33" t="str">
        <f aca="false">IF($A33="","",SUM($U33:$W33))</f>
        <v/>
      </c>
    </row>
    <row r="34" customFormat="false" ht="30" hidden="false" customHeight="true" outlineLevel="0" collapsed="false">
      <c r="A34" s="30"/>
      <c r="B34" s="37" t="str">
        <f aca="false">IF($A34="","",IFERROR(INDEX('Fragrance Projects'!$C$5:$C$64,MATCH($A34,'Fragrance Projects'!$A$5:$A$64,0)),""))</f>
        <v/>
      </c>
      <c r="C34" s="37" t="str">
        <f aca="false">IF($A34="","",IFERROR(INDEX('Fragrance Projects'!$D$5:$D$64,MATCH($A34,'Fragrance Projects'!$A$5:$A$64,0)),""))</f>
        <v/>
      </c>
      <c r="D34" s="30"/>
      <c r="E34" s="30"/>
      <c r="F34" s="38"/>
      <c r="G34" s="38"/>
      <c r="H34" s="38"/>
      <c r="I34" s="38"/>
      <c r="J34" s="38"/>
      <c r="K34" s="38"/>
      <c r="L34" s="30"/>
      <c r="M34" s="30"/>
      <c r="N34" s="34"/>
      <c r="O34" s="34"/>
      <c r="P34" s="34"/>
      <c r="Q34" s="34"/>
      <c r="R34" s="30"/>
      <c r="S34" s="30"/>
      <c r="T34" s="30"/>
      <c r="U34" s="32"/>
      <c r="V34" s="32"/>
      <c r="W34" s="32"/>
      <c r="X34" s="33" t="str">
        <f aca="false">IF($A34="","",SUM($U34:$W34))</f>
        <v/>
      </c>
    </row>
    <row r="35" customFormat="false" ht="30" hidden="false" customHeight="true" outlineLevel="0" collapsed="false">
      <c r="A35" s="30"/>
      <c r="B35" s="37" t="str">
        <f aca="false">IF($A35="","",IFERROR(INDEX('Fragrance Projects'!$C$5:$C$64,MATCH($A35,'Fragrance Projects'!$A$5:$A$64,0)),""))</f>
        <v/>
      </c>
      <c r="C35" s="37" t="str">
        <f aca="false">IF($A35="","",IFERROR(INDEX('Fragrance Projects'!$D$5:$D$64,MATCH($A35,'Fragrance Projects'!$A$5:$A$64,0)),""))</f>
        <v/>
      </c>
      <c r="D35" s="30"/>
      <c r="E35" s="30"/>
      <c r="F35" s="38"/>
      <c r="G35" s="38"/>
      <c r="H35" s="38"/>
      <c r="I35" s="38"/>
      <c r="J35" s="38"/>
      <c r="K35" s="38"/>
      <c r="L35" s="30"/>
      <c r="M35" s="30"/>
      <c r="N35" s="34"/>
      <c r="O35" s="34"/>
      <c r="P35" s="34"/>
      <c r="Q35" s="34"/>
      <c r="R35" s="30"/>
      <c r="S35" s="30"/>
      <c r="T35" s="30"/>
      <c r="U35" s="32"/>
      <c r="V35" s="32"/>
      <c r="W35" s="32"/>
      <c r="X35" s="33" t="str">
        <f aca="false">IF($A35="","",SUM($U35:$W35))</f>
        <v/>
      </c>
    </row>
    <row r="36" customFormat="false" ht="30" hidden="false" customHeight="true" outlineLevel="0" collapsed="false">
      <c r="A36" s="30"/>
      <c r="B36" s="37" t="str">
        <f aca="false">IF($A36="","",IFERROR(INDEX('Fragrance Projects'!$C$5:$C$64,MATCH($A36,'Fragrance Projects'!$A$5:$A$64,0)),""))</f>
        <v/>
      </c>
      <c r="C36" s="37" t="str">
        <f aca="false">IF($A36="","",IFERROR(INDEX('Fragrance Projects'!$D$5:$D$64,MATCH($A36,'Fragrance Projects'!$A$5:$A$64,0)),""))</f>
        <v/>
      </c>
      <c r="D36" s="30"/>
      <c r="E36" s="30"/>
      <c r="F36" s="38"/>
      <c r="G36" s="38"/>
      <c r="H36" s="38"/>
      <c r="I36" s="38"/>
      <c r="J36" s="38"/>
      <c r="K36" s="38"/>
      <c r="L36" s="30"/>
      <c r="M36" s="30"/>
      <c r="N36" s="34"/>
      <c r="O36" s="34"/>
      <c r="P36" s="34"/>
      <c r="Q36" s="34"/>
      <c r="R36" s="30"/>
      <c r="S36" s="30"/>
      <c r="T36" s="30"/>
      <c r="U36" s="32"/>
      <c r="V36" s="32"/>
      <c r="W36" s="32"/>
      <c r="X36" s="33" t="str">
        <f aca="false">IF($A36="","",SUM($U36:$W36))</f>
        <v/>
      </c>
    </row>
    <row r="37" customFormat="false" ht="30" hidden="false" customHeight="true" outlineLevel="0" collapsed="false">
      <c r="A37" s="30"/>
      <c r="B37" s="37" t="str">
        <f aca="false">IF($A37="","",IFERROR(INDEX('Fragrance Projects'!$C$5:$C$64,MATCH($A37,'Fragrance Projects'!$A$5:$A$64,0)),""))</f>
        <v/>
      </c>
      <c r="C37" s="37" t="str">
        <f aca="false">IF($A37="","",IFERROR(INDEX('Fragrance Projects'!$D$5:$D$64,MATCH($A37,'Fragrance Projects'!$A$5:$A$64,0)),""))</f>
        <v/>
      </c>
      <c r="D37" s="30"/>
      <c r="E37" s="30"/>
      <c r="F37" s="38"/>
      <c r="G37" s="38"/>
      <c r="H37" s="38"/>
      <c r="I37" s="38"/>
      <c r="J37" s="38"/>
      <c r="K37" s="38"/>
      <c r="L37" s="30"/>
      <c r="M37" s="30"/>
      <c r="N37" s="34"/>
      <c r="O37" s="34"/>
      <c r="P37" s="34"/>
      <c r="Q37" s="34"/>
      <c r="R37" s="30"/>
      <c r="S37" s="30"/>
      <c r="T37" s="30"/>
      <c r="U37" s="32"/>
      <c r="V37" s="32"/>
      <c r="W37" s="32"/>
      <c r="X37" s="33" t="str">
        <f aca="false">IF($A37="","",SUM($U37:$W37))</f>
        <v/>
      </c>
    </row>
    <row r="38" customFormat="false" ht="30" hidden="false" customHeight="true" outlineLevel="0" collapsed="false">
      <c r="A38" s="30"/>
      <c r="B38" s="37" t="str">
        <f aca="false">IF($A38="","",IFERROR(INDEX('Fragrance Projects'!$C$5:$C$64,MATCH($A38,'Fragrance Projects'!$A$5:$A$64,0)),""))</f>
        <v/>
      </c>
      <c r="C38" s="37" t="str">
        <f aca="false">IF($A38="","",IFERROR(INDEX('Fragrance Projects'!$D$5:$D$64,MATCH($A38,'Fragrance Projects'!$A$5:$A$64,0)),""))</f>
        <v/>
      </c>
      <c r="D38" s="30"/>
      <c r="E38" s="30"/>
      <c r="F38" s="38"/>
      <c r="G38" s="38"/>
      <c r="H38" s="38"/>
      <c r="I38" s="38"/>
      <c r="J38" s="38"/>
      <c r="K38" s="38"/>
      <c r="L38" s="30"/>
      <c r="M38" s="30"/>
      <c r="N38" s="34"/>
      <c r="O38" s="34"/>
      <c r="P38" s="34"/>
      <c r="Q38" s="34"/>
      <c r="R38" s="30"/>
      <c r="S38" s="30"/>
      <c r="T38" s="30"/>
      <c r="U38" s="32"/>
      <c r="V38" s="32"/>
      <c r="W38" s="32"/>
      <c r="X38" s="33" t="str">
        <f aca="false">IF($A38="","",SUM($U38:$W38))</f>
        <v/>
      </c>
    </row>
    <row r="39" customFormat="false" ht="30" hidden="false" customHeight="true" outlineLevel="0" collapsed="false">
      <c r="A39" s="30"/>
      <c r="B39" s="37" t="str">
        <f aca="false">IF($A39="","",IFERROR(INDEX('Fragrance Projects'!$C$5:$C$64,MATCH($A39,'Fragrance Projects'!$A$5:$A$64,0)),""))</f>
        <v/>
      </c>
      <c r="C39" s="37" t="str">
        <f aca="false">IF($A39="","",IFERROR(INDEX('Fragrance Projects'!$D$5:$D$64,MATCH($A39,'Fragrance Projects'!$A$5:$A$64,0)),""))</f>
        <v/>
      </c>
      <c r="D39" s="30"/>
      <c r="E39" s="30"/>
      <c r="F39" s="38"/>
      <c r="G39" s="38"/>
      <c r="H39" s="38"/>
      <c r="I39" s="38"/>
      <c r="J39" s="38"/>
      <c r="K39" s="38"/>
      <c r="L39" s="30"/>
      <c r="M39" s="30"/>
      <c r="N39" s="34"/>
      <c r="O39" s="34"/>
      <c r="P39" s="34"/>
      <c r="Q39" s="34"/>
      <c r="R39" s="30"/>
      <c r="S39" s="30"/>
      <c r="T39" s="30"/>
      <c r="U39" s="32"/>
      <c r="V39" s="32"/>
      <c r="W39" s="32"/>
      <c r="X39" s="33" t="str">
        <f aca="false">IF($A39="","",SUM($U39:$W39))</f>
        <v/>
      </c>
    </row>
    <row r="40" customFormat="false" ht="30" hidden="false" customHeight="true" outlineLevel="0" collapsed="false">
      <c r="A40" s="30"/>
      <c r="B40" s="37" t="str">
        <f aca="false">IF($A40="","",IFERROR(INDEX('Fragrance Projects'!$C$5:$C$64,MATCH($A40,'Fragrance Projects'!$A$5:$A$64,0)),""))</f>
        <v/>
      </c>
      <c r="C40" s="37" t="str">
        <f aca="false">IF($A40="","",IFERROR(INDEX('Fragrance Projects'!$D$5:$D$64,MATCH($A40,'Fragrance Projects'!$A$5:$A$64,0)),""))</f>
        <v/>
      </c>
      <c r="D40" s="30"/>
      <c r="E40" s="30"/>
      <c r="F40" s="38"/>
      <c r="G40" s="38"/>
      <c r="H40" s="38"/>
      <c r="I40" s="38"/>
      <c r="J40" s="38"/>
      <c r="K40" s="38"/>
      <c r="L40" s="30"/>
      <c r="M40" s="30"/>
      <c r="N40" s="34"/>
      <c r="O40" s="34"/>
      <c r="P40" s="34"/>
      <c r="Q40" s="34"/>
      <c r="R40" s="30"/>
      <c r="S40" s="30"/>
      <c r="T40" s="30"/>
      <c r="U40" s="32"/>
      <c r="V40" s="32"/>
      <c r="W40" s="32"/>
      <c r="X40" s="33" t="str">
        <f aca="false">IF($A40="","",SUM($U40:$W40))</f>
        <v/>
      </c>
    </row>
    <row r="41" customFormat="false" ht="30" hidden="false" customHeight="true" outlineLevel="0" collapsed="false">
      <c r="A41" s="30"/>
      <c r="B41" s="37" t="str">
        <f aca="false">IF($A41="","",IFERROR(INDEX('Fragrance Projects'!$C$5:$C$64,MATCH($A41,'Fragrance Projects'!$A$5:$A$64,0)),""))</f>
        <v/>
      </c>
      <c r="C41" s="37" t="str">
        <f aca="false">IF($A41="","",IFERROR(INDEX('Fragrance Projects'!$D$5:$D$64,MATCH($A41,'Fragrance Projects'!$A$5:$A$64,0)),""))</f>
        <v/>
      </c>
      <c r="D41" s="30"/>
      <c r="E41" s="30"/>
      <c r="F41" s="38"/>
      <c r="G41" s="38"/>
      <c r="H41" s="38"/>
      <c r="I41" s="38"/>
      <c r="J41" s="38"/>
      <c r="K41" s="38"/>
      <c r="L41" s="30"/>
      <c r="M41" s="30"/>
      <c r="N41" s="34"/>
      <c r="O41" s="34"/>
      <c r="P41" s="34"/>
      <c r="Q41" s="34"/>
      <c r="R41" s="30"/>
      <c r="S41" s="30"/>
      <c r="T41" s="30"/>
      <c r="U41" s="32"/>
      <c r="V41" s="32"/>
      <c r="W41" s="32"/>
      <c r="X41" s="33" t="str">
        <f aca="false">IF($A41="","",SUM($U41:$W41))</f>
        <v/>
      </c>
    </row>
    <row r="42" customFormat="false" ht="30" hidden="false" customHeight="true" outlineLevel="0" collapsed="false">
      <c r="A42" s="30"/>
      <c r="B42" s="37" t="str">
        <f aca="false">IF($A42="","",IFERROR(INDEX('Fragrance Projects'!$C$5:$C$64,MATCH($A42,'Fragrance Projects'!$A$5:$A$64,0)),""))</f>
        <v/>
      </c>
      <c r="C42" s="37" t="str">
        <f aca="false">IF($A42="","",IFERROR(INDEX('Fragrance Projects'!$D$5:$D$64,MATCH($A42,'Fragrance Projects'!$A$5:$A$64,0)),""))</f>
        <v/>
      </c>
      <c r="D42" s="30"/>
      <c r="E42" s="30"/>
      <c r="F42" s="38"/>
      <c r="G42" s="38"/>
      <c r="H42" s="38"/>
      <c r="I42" s="38"/>
      <c r="J42" s="38"/>
      <c r="K42" s="38"/>
      <c r="L42" s="30"/>
      <c r="M42" s="30"/>
      <c r="N42" s="34"/>
      <c r="O42" s="34"/>
      <c r="P42" s="34"/>
      <c r="Q42" s="34"/>
      <c r="R42" s="30"/>
      <c r="S42" s="30"/>
      <c r="T42" s="30"/>
      <c r="U42" s="32"/>
      <c r="V42" s="32"/>
      <c r="W42" s="32"/>
      <c r="X42" s="33" t="str">
        <f aca="false">IF($A42="","",SUM($U42:$W42))</f>
        <v/>
      </c>
    </row>
    <row r="43" customFormat="false" ht="30" hidden="false" customHeight="true" outlineLevel="0" collapsed="false">
      <c r="A43" s="30"/>
      <c r="B43" s="37" t="str">
        <f aca="false">IF($A43="","",IFERROR(INDEX('Fragrance Projects'!$C$5:$C$64,MATCH($A43,'Fragrance Projects'!$A$5:$A$64,0)),""))</f>
        <v/>
      </c>
      <c r="C43" s="37" t="str">
        <f aca="false">IF($A43="","",IFERROR(INDEX('Fragrance Projects'!$D$5:$D$64,MATCH($A43,'Fragrance Projects'!$A$5:$A$64,0)),""))</f>
        <v/>
      </c>
      <c r="D43" s="30"/>
      <c r="E43" s="30"/>
      <c r="F43" s="38"/>
      <c r="G43" s="38"/>
      <c r="H43" s="38"/>
      <c r="I43" s="38"/>
      <c r="J43" s="38"/>
      <c r="K43" s="38"/>
      <c r="L43" s="30"/>
      <c r="M43" s="30"/>
      <c r="N43" s="34"/>
      <c r="O43" s="34"/>
      <c r="P43" s="34"/>
      <c r="Q43" s="34"/>
      <c r="R43" s="30"/>
      <c r="S43" s="30"/>
      <c r="T43" s="30"/>
      <c r="U43" s="32"/>
      <c r="V43" s="32"/>
      <c r="W43" s="32"/>
      <c r="X43" s="33" t="str">
        <f aca="false">IF($A43="","",SUM($U43:$W43))</f>
        <v/>
      </c>
    </row>
    <row r="44" customFormat="false" ht="30" hidden="false" customHeight="true" outlineLevel="0" collapsed="false">
      <c r="A44" s="30"/>
      <c r="B44" s="37" t="str">
        <f aca="false">IF($A44="","",IFERROR(INDEX('Fragrance Projects'!$C$5:$C$64,MATCH($A44,'Fragrance Projects'!$A$5:$A$64,0)),""))</f>
        <v/>
      </c>
      <c r="C44" s="37" t="str">
        <f aca="false">IF($A44="","",IFERROR(INDEX('Fragrance Projects'!$D$5:$D$64,MATCH($A44,'Fragrance Projects'!$A$5:$A$64,0)),""))</f>
        <v/>
      </c>
      <c r="D44" s="30"/>
      <c r="E44" s="30"/>
      <c r="F44" s="38"/>
      <c r="G44" s="38"/>
      <c r="H44" s="38"/>
      <c r="I44" s="38"/>
      <c r="J44" s="38"/>
      <c r="K44" s="38"/>
      <c r="L44" s="30"/>
      <c r="M44" s="30"/>
      <c r="N44" s="34"/>
      <c r="O44" s="34"/>
      <c r="P44" s="34"/>
      <c r="Q44" s="34"/>
      <c r="R44" s="30"/>
      <c r="S44" s="30"/>
      <c r="T44" s="30"/>
      <c r="U44" s="32"/>
      <c r="V44" s="32"/>
      <c r="W44" s="32"/>
      <c r="X44" s="33" t="str">
        <f aca="false">IF($A44="","",SUM($U44:$W44))</f>
        <v/>
      </c>
    </row>
    <row r="45" customFormat="false" ht="30" hidden="false" customHeight="true" outlineLevel="0" collapsed="false">
      <c r="A45" s="30"/>
      <c r="B45" s="37" t="str">
        <f aca="false">IF($A45="","",IFERROR(INDEX('Fragrance Projects'!$C$5:$C$64,MATCH($A45,'Fragrance Projects'!$A$5:$A$64,0)),""))</f>
        <v/>
      </c>
      <c r="C45" s="37" t="str">
        <f aca="false">IF($A45="","",IFERROR(INDEX('Fragrance Projects'!$D$5:$D$64,MATCH($A45,'Fragrance Projects'!$A$5:$A$64,0)),""))</f>
        <v/>
      </c>
      <c r="D45" s="30"/>
      <c r="E45" s="30"/>
      <c r="F45" s="38"/>
      <c r="G45" s="38"/>
      <c r="H45" s="38"/>
      <c r="I45" s="38"/>
      <c r="J45" s="38"/>
      <c r="K45" s="38"/>
      <c r="L45" s="30"/>
      <c r="M45" s="30"/>
      <c r="N45" s="34"/>
      <c r="O45" s="34"/>
      <c r="P45" s="34"/>
      <c r="Q45" s="34"/>
      <c r="R45" s="30"/>
      <c r="S45" s="30"/>
      <c r="T45" s="30"/>
      <c r="U45" s="32"/>
      <c r="V45" s="32"/>
      <c r="W45" s="32"/>
      <c r="X45" s="33" t="str">
        <f aca="false">IF($A45="","",SUM($U45:$W45))</f>
        <v/>
      </c>
    </row>
    <row r="46" customFormat="false" ht="30" hidden="false" customHeight="true" outlineLevel="0" collapsed="false">
      <c r="A46" s="30"/>
      <c r="B46" s="37" t="str">
        <f aca="false">IF($A46="","",IFERROR(INDEX('Fragrance Projects'!$C$5:$C$64,MATCH($A46,'Fragrance Projects'!$A$5:$A$64,0)),""))</f>
        <v/>
      </c>
      <c r="C46" s="37" t="str">
        <f aca="false">IF($A46="","",IFERROR(INDEX('Fragrance Projects'!$D$5:$D$64,MATCH($A46,'Fragrance Projects'!$A$5:$A$64,0)),""))</f>
        <v/>
      </c>
      <c r="D46" s="30"/>
      <c r="E46" s="30"/>
      <c r="F46" s="38"/>
      <c r="G46" s="38"/>
      <c r="H46" s="38"/>
      <c r="I46" s="38"/>
      <c r="J46" s="38"/>
      <c r="K46" s="38"/>
      <c r="L46" s="30"/>
      <c r="M46" s="30"/>
      <c r="N46" s="34"/>
      <c r="O46" s="34"/>
      <c r="P46" s="34"/>
      <c r="Q46" s="34"/>
      <c r="R46" s="30"/>
      <c r="S46" s="30"/>
      <c r="T46" s="30"/>
      <c r="U46" s="32"/>
      <c r="V46" s="32"/>
      <c r="W46" s="32"/>
      <c r="X46" s="33" t="str">
        <f aca="false">IF($A46="","",SUM($U46:$W46))</f>
        <v/>
      </c>
    </row>
    <row r="47" customFormat="false" ht="30" hidden="false" customHeight="true" outlineLevel="0" collapsed="false">
      <c r="A47" s="30"/>
      <c r="B47" s="37" t="str">
        <f aca="false">IF($A47="","",IFERROR(INDEX('Fragrance Projects'!$C$5:$C$64,MATCH($A47,'Fragrance Projects'!$A$5:$A$64,0)),""))</f>
        <v/>
      </c>
      <c r="C47" s="37" t="str">
        <f aca="false">IF($A47="","",IFERROR(INDEX('Fragrance Projects'!$D$5:$D$64,MATCH($A47,'Fragrance Projects'!$A$5:$A$64,0)),""))</f>
        <v/>
      </c>
      <c r="D47" s="30"/>
      <c r="E47" s="30"/>
      <c r="F47" s="38"/>
      <c r="G47" s="38"/>
      <c r="H47" s="38"/>
      <c r="I47" s="38"/>
      <c r="J47" s="38"/>
      <c r="K47" s="38"/>
      <c r="L47" s="30"/>
      <c r="M47" s="30"/>
      <c r="N47" s="34"/>
      <c r="O47" s="34"/>
      <c r="P47" s="34"/>
      <c r="Q47" s="34"/>
      <c r="R47" s="30"/>
      <c r="S47" s="30"/>
      <c r="T47" s="30"/>
      <c r="U47" s="32"/>
      <c r="V47" s="32"/>
      <c r="W47" s="32"/>
      <c r="X47" s="33" t="str">
        <f aca="false">IF($A47="","",SUM($U47:$W47))</f>
        <v/>
      </c>
    </row>
    <row r="48" customFormat="false" ht="30" hidden="false" customHeight="true" outlineLevel="0" collapsed="false">
      <c r="A48" s="30"/>
      <c r="B48" s="37" t="str">
        <f aca="false">IF($A48="","",IFERROR(INDEX('Fragrance Projects'!$C$5:$C$64,MATCH($A48,'Fragrance Projects'!$A$5:$A$64,0)),""))</f>
        <v/>
      </c>
      <c r="C48" s="37" t="str">
        <f aca="false">IF($A48="","",IFERROR(INDEX('Fragrance Projects'!$D$5:$D$64,MATCH($A48,'Fragrance Projects'!$A$5:$A$64,0)),""))</f>
        <v/>
      </c>
      <c r="D48" s="30"/>
      <c r="E48" s="30"/>
      <c r="F48" s="38"/>
      <c r="G48" s="38"/>
      <c r="H48" s="38"/>
      <c r="I48" s="38"/>
      <c r="J48" s="38"/>
      <c r="K48" s="38"/>
      <c r="L48" s="30"/>
      <c r="M48" s="30"/>
      <c r="N48" s="34"/>
      <c r="O48" s="34"/>
      <c r="P48" s="34"/>
      <c r="Q48" s="34"/>
      <c r="R48" s="30"/>
      <c r="S48" s="30"/>
      <c r="T48" s="30"/>
      <c r="U48" s="32"/>
      <c r="V48" s="32"/>
      <c r="W48" s="32"/>
      <c r="X48" s="33" t="str">
        <f aca="false">IF($A48="","",SUM($U48:$W48))</f>
        <v/>
      </c>
    </row>
    <row r="49" customFormat="false" ht="30" hidden="false" customHeight="true" outlineLevel="0" collapsed="false">
      <c r="A49" s="30"/>
      <c r="B49" s="37" t="str">
        <f aca="false">IF($A49="","",IFERROR(INDEX('Fragrance Projects'!$C$5:$C$64,MATCH($A49,'Fragrance Projects'!$A$5:$A$64,0)),""))</f>
        <v/>
      </c>
      <c r="C49" s="37" t="str">
        <f aca="false">IF($A49="","",IFERROR(INDEX('Fragrance Projects'!$D$5:$D$64,MATCH($A49,'Fragrance Projects'!$A$5:$A$64,0)),""))</f>
        <v/>
      </c>
      <c r="D49" s="30"/>
      <c r="E49" s="30"/>
      <c r="F49" s="38"/>
      <c r="G49" s="38"/>
      <c r="H49" s="38"/>
      <c r="I49" s="38"/>
      <c r="J49" s="38"/>
      <c r="K49" s="38"/>
      <c r="L49" s="30"/>
      <c r="M49" s="30"/>
      <c r="N49" s="34"/>
      <c r="O49" s="34"/>
      <c r="P49" s="34"/>
      <c r="Q49" s="34"/>
      <c r="R49" s="30"/>
      <c r="S49" s="30"/>
      <c r="T49" s="30"/>
      <c r="U49" s="32"/>
      <c r="V49" s="32"/>
      <c r="W49" s="32"/>
      <c r="X49" s="33" t="str">
        <f aca="false">IF($A49="","",SUM($U49:$W49))</f>
        <v/>
      </c>
    </row>
    <row r="50" customFormat="false" ht="30" hidden="false" customHeight="true" outlineLevel="0" collapsed="false">
      <c r="A50" s="30"/>
      <c r="B50" s="37" t="str">
        <f aca="false">IF($A50="","",IFERROR(INDEX('Fragrance Projects'!$C$5:$C$64,MATCH($A50,'Fragrance Projects'!$A$5:$A$64,0)),""))</f>
        <v/>
      </c>
      <c r="C50" s="37" t="str">
        <f aca="false">IF($A50="","",IFERROR(INDEX('Fragrance Projects'!$D$5:$D$64,MATCH($A50,'Fragrance Projects'!$A$5:$A$64,0)),""))</f>
        <v/>
      </c>
      <c r="D50" s="30"/>
      <c r="E50" s="30"/>
      <c r="F50" s="38"/>
      <c r="G50" s="38"/>
      <c r="H50" s="38"/>
      <c r="I50" s="38"/>
      <c r="J50" s="38"/>
      <c r="K50" s="38"/>
      <c r="L50" s="30"/>
      <c r="M50" s="30"/>
      <c r="N50" s="34"/>
      <c r="O50" s="34"/>
      <c r="P50" s="34"/>
      <c r="Q50" s="34"/>
      <c r="R50" s="30"/>
      <c r="S50" s="30"/>
      <c r="T50" s="30"/>
      <c r="U50" s="32"/>
      <c r="V50" s="32"/>
      <c r="W50" s="32"/>
      <c r="X50" s="33" t="str">
        <f aca="false">IF($A50="","",SUM($U50:$W50))</f>
        <v/>
      </c>
    </row>
    <row r="51" customFormat="false" ht="30" hidden="false" customHeight="true" outlineLevel="0" collapsed="false">
      <c r="A51" s="30"/>
      <c r="B51" s="37" t="str">
        <f aca="false">IF($A51="","",IFERROR(INDEX('Fragrance Projects'!$C$5:$C$64,MATCH($A51,'Fragrance Projects'!$A$5:$A$64,0)),""))</f>
        <v/>
      </c>
      <c r="C51" s="37" t="str">
        <f aca="false">IF($A51="","",IFERROR(INDEX('Fragrance Projects'!$D$5:$D$64,MATCH($A51,'Fragrance Projects'!$A$5:$A$64,0)),""))</f>
        <v/>
      </c>
      <c r="D51" s="30"/>
      <c r="E51" s="30"/>
      <c r="F51" s="38"/>
      <c r="G51" s="38"/>
      <c r="H51" s="38"/>
      <c r="I51" s="38"/>
      <c r="J51" s="38"/>
      <c r="K51" s="38"/>
      <c r="L51" s="30"/>
      <c r="M51" s="30"/>
      <c r="N51" s="34"/>
      <c r="O51" s="34"/>
      <c r="P51" s="34"/>
      <c r="Q51" s="34"/>
      <c r="R51" s="30"/>
      <c r="S51" s="30"/>
      <c r="T51" s="30"/>
      <c r="U51" s="32"/>
      <c r="V51" s="32"/>
      <c r="W51" s="32"/>
      <c r="X51" s="33" t="str">
        <f aca="false">IF($A51="","",SUM($U51:$W51))</f>
        <v/>
      </c>
    </row>
    <row r="52" customFormat="false" ht="30" hidden="false" customHeight="true" outlineLevel="0" collapsed="false">
      <c r="A52" s="30"/>
      <c r="B52" s="37" t="str">
        <f aca="false">IF($A52="","",IFERROR(INDEX('Fragrance Projects'!$C$5:$C$64,MATCH($A52,'Fragrance Projects'!$A$5:$A$64,0)),""))</f>
        <v/>
      </c>
      <c r="C52" s="37" t="str">
        <f aca="false">IF($A52="","",IFERROR(INDEX('Fragrance Projects'!$D$5:$D$64,MATCH($A52,'Fragrance Projects'!$A$5:$A$64,0)),""))</f>
        <v/>
      </c>
      <c r="D52" s="30"/>
      <c r="E52" s="30"/>
      <c r="F52" s="38"/>
      <c r="G52" s="38"/>
      <c r="H52" s="38"/>
      <c r="I52" s="38"/>
      <c r="J52" s="38"/>
      <c r="K52" s="38"/>
      <c r="L52" s="30"/>
      <c r="M52" s="30"/>
      <c r="N52" s="34"/>
      <c r="O52" s="34"/>
      <c r="P52" s="34"/>
      <c r="Q52" s="34"/>
      <c r="R52" s="30"/>
      <c r="S52" s="30"/>
      <c r="T52" s="30"/>
      <c r="U52" s="32"/>
      <c r="V52" s="32"/>
      <c r="W52" s="32"/>
      <c r="X52" s="33" t="str">
        <f aca="false">IF($A52="","",SUM($U52:$W52))</f>
        <v/>
      </c>
    </row>
    <row r="53" customFormat="false" ht="30" hidden="false" customHeight="true" outlineLevel="0" collapsed="false">
      <c r="A53" s="30"/>
      <c r="B53" s="37" t="str">
        <f aca="false">IF($A53="","",IFERROR(INDEX('Fragrance Projects'!$C$5:$C$64,MATCH($A53,'Fragrance Projects'!$A$5:$A$64,0)),""))</f>
        <v/>
      </c>
      <c r="C53" s="37" t="str">
        <f aca="false">IF($A53="","",IFERROR(INDEX('Fragrance Projects'!$D$5:$D$64,MATCH($A53,'Fragrance Projects'!$A$5:$A$64,0)),""))</f>
        <v/>
      </c>
      <c r="D53" s="30"/>
      <c r="E53" s="30"/>
      <c r="F53" s="38"/>
      <c r="G53" s="38"/>
      <c r="H53" s="38"/>
      <c r="I53" s="38"/>
      <c r="J53" s="38"/>
      <c r="K53" s="38"/>
      <c r="L53" s="30"/>
      <c r="M53" s="30"/>
      <c r="N53" s="34"/>
      <c r="O53" s="34"/>
      <c r="P53" s="34"/>
      <c r="Q53" s="34"/>
      <c r="R53" s="30"/>
      <c r="S53" s="30"/>
      <c r="T53" s="30"/>
      <c r="U53" s="32"/>
      <c r="V53" s="32"/>
      <c r="W53" s="32"/>
      <c r="X53" s="33" t="str">
        <f aca="false">IF($A53="","",SUM($U53:$W53))</f>
        <v/>
      </c>
    </row>
    <row r="54" customFormat="false" ht="30" hidden="false" customHeight="true" outlineLevel="0" collapsed="false">
      <c r="A54" s="30"/>
      <c r="B54" s="37" t="str">
        <f aca="false">IF($A54="","",IFERROR(INDEX('Fragrance Projects'!$C$5:$C$64,MATCH($A54,'Fragrance Projects'!$A$5:$A$64,0)),""))</f>
        <v/>
      </c>
      <c r="C54" s="37" t="str">
        <f aca="false">IF($A54="","",IFERROR(INDEX('Fragrance Projects'!$D$5:$D$64,MATCH($A54,'Fragrance Projects'!$A$5:$A$64,0)),""))</f>
        <v/>
      </c>
      <c r="D54" s="30"/>
      <c r="E54" s="30"/>
      <c r="F54" s="38"/>
      <c r="G54" s="38"/>
      <c r="H54" s="38"/>
      <c r="I54" s="38"/>
      <c r="J54" s="38"/>
      <c r="K54" s="38"/>
      <c r="L54" s="30"/>
      <c r="M54" s="30"/>
      <c r="N54" s="34"/>
      <c r="O54" s="34"/>
      <c r="P54" s="34"/>
      <c r="Q54" s="34"/>
      <c r="R54" s="30"/>
      <c r="S54" s="30"/>
      <c r="T54" s="30"/>
      <c r="U54" s="32"/>
      <c r="V54" s="32"/>
      <c r="W54" s="32"/>
      <c r="X54" s="33" t="str">
        <f aca="false">IF($A54="","",SUM($U54:$W54))</f>
        <v/>
      </c>
    </row>
    <row r="55" customFormat="false" ht="30" hidden="false" customHeight="true" outlineLevel="0" collapsed="false">
      <c r="A55" s="30"/>
      <c r="B55" s="37" t="str">
        <f aca="false">IF($A55="","",IFERROR(INDEX('Fragrance Projects'!$C$5:$C$64,MATCH($A55,'Fragrance Projects'!$A$5:$A$64,0)),""))</f>
        <v/>
      </c>
      <c r="C55" s="37" t="str">
        <f aca="false">IF($A55="","",IFERROR(INDEX('Fragrance Projects'!$D$5:$D$64,MATCH($A55,'Fragrance Projects'!$A$5:$A$64,0)),""))</f>
        <v/>
      </c>
      <c r="D55" s="30"/>
      <c r="E55" s="30"/>
      <c r="F55" s="38"/>
      <c r="G55" s="38"/>
      <c r="H55" s="38"/>
      <c r="I55" s="38"/>
      <c r="J55" s="38"/>
      <c r="K55" s="38"/>
      <c r="L55" s="30"/>
      <c r="M55" s="30"/>
      <c r="N55" s="34"/>
      <c r="O55" s="34"/>
      <c r="P55" s="34"/>
      <c r="Q55" s="34"/>
      <c r="R55" s="30"/>
      <c r="S55" s="30"/>
      <c r="T55" s="30"/>
      <c r="U55" s="32"/>
      <c r="V55" s="32"/>
      <c r="W55" s="32"/>
      <c r="X55" s="33" t="str">
        <f aca="false">IF($A55="","",SUM($U55:$W55))</f>
        <v/>
      </c>
    </row>
    <row r="56" customFormat="false" ht="30" hidden="false" customHeight="true" outlineLevel="0" collapsed="false">
      <c r="A56" s="30"/>
      <c r="B56" s="37" t="str">
        <f aca="false">IF($A56="","",IFERROR(INDEX('Fragrance Projects'!$C$5:$C$64,MATCH($A56,'Fragrance Projects'!$A$5:$A$64,0)),""))</f>
        <v/>
      </c>
      <c r="C56" s="37" t="str">
        <f aca="false">IF($A56="","",IFERROR(INDEX('Fragrance Projects'!$D$5:$D$64,MATCH($A56,'Fragrance Projects'!$A$5:$A$64,0)),""))</f>
        <v/>
      </c>
      <c r="D56" s="30"/>
      <c r="E56" s="30"/>
      <c r="F56" s="38"/>
      <c r="G56" s="38"/>
      <c r="H56" s="38"/>
      <c r="I56" s="38"/>
      <c r="J56" s="38"/>
      <c r="K56" s="38"/>
      <c r="L56" s="30"/>
      <c r="M56" s="30"/>
      <c r="N56" s="34"/>
      <c r="O56" s="34"/>
      <c r="P56" s="34"/>
      <c r="Q56" s="34"/>
      <c r="R56" s="30"/>
      <c r="S56" s="30"/>
      <c r="T56" s="30"/>
      <c r="U56" s="32"/>
      <c r="V56" s="32"/>
      <c r="W56" s="32"/>
      <c r="X56" s="33" t="str">
        <f aca="false">IF($A56="","",SUM($U56:$W56))</f>
        <v/>
      </c>
    </row>
    <row r="57" customFormat="false" ht="30" hidden="false" customHeight="true" outlineLevel="0" collapsed="false">
      <c r="A57" s="30"/>
      <c r="B57" s="37" t="str">
        <f aca="false">IF($A57="","",IFERROR(INDEX('Fragrance Projects'!$C$5:$C$64,MATCH($A57,'Fragrance Projects'!$A$5:$A$64,0)),""))</f>
        <v/>
      </c>
      <c r="C57" s="37" t="str">
        <f aca="false">IF($A57="","",IFERROR(INDEX('Fragrance Projects'!$D$5:$D$64,MATCH($A57,'Fragrance Projects'!$A$5:$A$64,0)),""))</f>
        <v/>
      </c>
      <c r="D57" s="30"/>
      <c r="E57" s="30"/>
      <c r="F57" s="38"/>
      <c r="G57" s="38"/>
      <c r="H57" s="38"/>
      <c r="I57" s="38"/>
      <c r="J57" s="38"/>
      <c r="K57" s="38"/>
      <c r="L57" s="30"/>
      <c r="M57" s="30"/>
      <c r="N57" s="34"/>
      <c r="O57" s="34"/>
      <c r="P57" s="34"/>
      <c r="Q57" s="34"/>
      <c r="R57" s="30"/>
      <c r="S57" s="30"/>
      <c r="T57" s="30"/>
      <c r="U57" s="32"/>
      <c r="V57" s="32"/>
      <c r="W57" s="32"/>
      <c r="X57" s="33" t="str">
        <f aca="false">IF($A57="","",SUM($U57:$W57))</f>
        <v/>
      </c>
    </row>
    <row r="58" customFormat="false" ht="30" hidden="false" customHeight="true" outlineLevel="0" collapsed="false">
      <c r="A58" s="30"/>
      <c r="B58" s="37" t="str">
        <f aca="false">IF($A58="","",IFERROR(INDEX('Fragrance Projects'!$C$5:$C$64,MATCH($A58,'Fragrance Projects'!$A$5:$A$64,0)),""))</f>
        <v/>
      </c>
      <c r="C58" s="37" t="str">
        <f aca="false">IF($A58="","",IFERROR(INDEX('Fragrance Projects'!$D$5:$D$64,MATCH($A58,'Fragrance Projects'!$A$5:$A$64,0)),""))</f>
        <v/>
      </c>
      <c r="D58" s="30"/>
      <c r="E58" s="30"/>
      <c r="F58" s="38"/>
      <c r="G58" s="38"/>
      <c r="H58" s="38"/>
      <c r="I58" s="38"/>
      <c r="J58" s="38"/>
      <c r="K58" s="38"/>
      <c r="L58" s="30"/>
      <c r="M58" s="30"/>
      <c r="N58" s="34"/>
      <c r="O58" s="34"/>
      <c r="P58" s="34"/>
      <c r="Q58" s="34"/>
      <c r="R58" s="30"/>
      <c r="S58" s="30"/>
      <c r="T58" s="30"/>
      <c r="U58" s="32"/>
      <c r="V58" s="32"/>
      <c r="W58" s="32"/>
      <c r="X58" s="33" t="str">
        <f aca="false">IF($A58="","",SUM($U58:$W58))</f>
        <v/>
      </c>
    </row>
    <row r="59" customFormat="false" ht="30" hidden="false" customHeight="true" outlineLevel="0" collapsed="false">
      <c r="A59" s="30"/>
      <c r="B59" s="37" t="str">
        <f aca="false">IF($A59="","",IFERROR(INDEX('Fragrance Projects'!$C$5:$C$64,MATCH($A59,'Fragrance Projects'!$A$5:$A$64,0)),""))</f>
        <v/>
      </c>
      <c r="C59" s="37" t="str">
        <f aca="false">IF($A59="","",IFERROR(INDEX('Fragrance Projects'!$D$5:$D$64,MATCH($A59,'Fragrance Projects'!$A$5:$A$64,0)),""))</f>
        <v/>
      </c>
      <c r="D59" s="30"/>
      <c r="E59" s="30"/>
      <c r="F59" s="38"/>
      <c r="G59" s="38"/>
      <c r="H59" s="38"/>
      <c r="I59" s="38"/>
      <c r="J59" s="38"/>
      <c r="K59" s="38"/>
      <c r="L59" s="30"/>
      <c r="M59" s="30"/>
      <c r="N59" s="34"/>
      <c r="O59" s="34"/>
      <c r="P59" s="34"/>
      <c r="Q59" s="34"/>
      <c r="R59" s="30"/>
      <c r="S59" s="30"/>
      <c r="T59" s="30"/>
      <c r="U59" s="32"/>
      <c r="V59" s="32"/>
      <c r="W59" s="32"/>
      <c r="X59" s="33" t="str">
        <f aca="false">IF($A59="","",SUM($U59:$W59))</f>
        <v/>
      </c>
    </row>
    <row r="60" customFormat="false" ht="30" hidden="false" customHeight="true" outlineLevel="0" collapsed="false">
      <c r="A60" s="30"/>
      <c r="B60" s="37" t="str">
        <f aca="false">IF($A60="","",IFERROR(INDEX('Fragrance Projects'!$C$5:$C$64,MATCH($A60,'Fragrance Projects'!$A$5:$A$64,0)),""))</f>
        <v/>
      </c>
      <c r="C60" s="37" t="str">
        <f aca="false">IF($A60="","",IFERROR(INDEX('Fragrance Projects'!$D$5:$D$64,MATCH($A60,'Fragrance Projects'!$A$5:$A$64,0)),""))</f>
        <v/>
      </c>
      <c r="D60" s="30"/>
      <c r="E60" s="30"/>
      <c r="F60" s="38"/>
      <c r="G60" s="38"/>
      <c r="H60" s="38"/>
      <c r="I60" s="38"/>
      <c r="J60" s="38"/>
      <c r="K60" s="38"/>
      <c r="L60" s="30"/>
      <c r="M60" s="30"/>
      <c r="N60" s="34"/>
      <c r="O60" s="34"/>
      <c r="P60" s="34"/>
      <c r="Q60" s="34"/>
      <c r="R60" s="30"/>
      <c r="S60" s="30"/>
      <c r="T60" s="30"/>
      <c r="U60" s="32"/>
      <c r="V60" s="32"/>
      <c r="W60" s="32"/>
      <c r="X60" s="33" t="str">
        <f aca="false">IF($A60="","",SUM($U60:$W60))</f>
        <v/>
      </c>
    </row>
    <row r="61" customFormat="false" ht="30" hidden="false" customHeight="true" outlineLevel="0" collapsed="false">
      <c r="A61" s="30"/>
      <c r="B61" s="37" t="str">
        <f aca="false">IF($A61="","",IFERROR(INDEX('Fragrance Projects'!$C$5:$C$64,MATCH($A61,'Fragrance Projects'!$A$5:$A$64,0)),""))</f>
        <v/>
      </c>
      <c r="C61" s="37" t="str">
        <f aca="false">IF($A61="","",IFERROR(INDEX('Fragrance Projects'!$D$5:$D$64,MATCH($A61,'Fragrance Projects'!$A$5:$A$64,0)),""))</f>
        <v/>
      </c>
      <c r="D61" s="30"/>
      <c r="E61" s="30"/>
      <c r="F61" s="38"/>
      <c r="G61" s="38"/>
      <c r="H61" s="38"/>
      <c r="I61" s="38"/>
      <c r="J61" s="38"/>
      <c r="K61" s="38"/>
      <c r="L61" s="30"/>
      <c r="M61" s="30"/>
      <c r="N61" s="34"/>
      <c r="O61" s="34"/>
      <c r="P61" s="34"/>
      <c r="Q61" s="34"/>
      <c r="R61" s="30"/>
      <c r="S61" s="30"/>
      <c r="T61" s="30"/>
      <c r="U61" s="32"/>
      <c r="V61" s="32"/>
      <c r="W61" s="32"/>
      <c r="X61" s="33" t="str">
        <f aca="false">IF($A61="","",SUM($U61:$W61))</f>
        <v/>
      </c>
    </row>
    <row r="62" customFormat="false" ht="30" hidden="false" customHeight="true" outlineLevel="0" collapsed="false">
      <c r="A62" s="30"/>
      <c r="B62" s="37" t="str">
        <f aca="false">IF($A62="","",IFERROR(INDEX('Fragrance Projects'!$C$5:$C$64,MATCH($A62,'Fragrance Projects'!$A$5:$A$64,0)),""))</f>
        <v/>
      </c>
      <c r="C62" s="37" t="str">
        <f aca="false">IF($A62="","",IFERROR(INDEX('Fragrance Projects'!$D$5:$D$64,MATCH($A62,'Fragrance Projects'!$A$5:$A$64,0)),""))</f>
        <v/>
      </c>
      <c r="D62" s="30"/>
      <c r="E62" s="30"/>
      <c r="F62" s="38"/>
      <c r="G62" s="38"/>
      <c r="H62" s="38"/>
      <c r="I62" s="38"/>
      <c r="J62" s="38"/>
      <c r="K62" s="38"/>
      <c r="L62" s="30"/>
      <c r="M62" s="30"/>
      <c r="N62" s="34"/>
      <c r="O62" s="34"/>
      <c r="P62" s="34"/>
      <c r="Q62" s="34"/>
      <c r="R62" s="30"/>
      <c r="S62" s="30"/>
      <c r="T62" s="30"/>
      <c r="U62" s="32"/>
      <c r="V62" s="32"/>
      <c r="W62" s="32"/>
      <c r="X62" s="33" t="str">
        <f aca="false">IF($A62="","",SUM($U62:$W62))</f>
        <v/>
      </c>
    </row>
    <row r="63" customFormat="false" ht="30" hidden="false" customHeight="true" outlineLevel="0" collapsed="false">
      <c r="A63" s="30"/>
      <c r="B63" s="37" t="str">
        <f aca="false">IF($A63="","",IFERROR(INDEX('Fragrance Projects'!$C$5:$C$64,MATCH($A63,'Fragrance Projects'!$A$5:$A$64,0)),""))</f>
        <v/>
      </c>
      <c r="C63" s="37" t="str">
        <f aca="false">IF($A63="","",IFERROR(INDEX('Fragrance Projects'!$D$5:$D$64,MATCH($A63,'Fragrance Projects'!$A$5:$A$64,0)),""))</f>
        <v/>
      </c>
      <c r="D63" s="30"/>
      <c r="E63" s="30"/>
      <c r="F63" s="38"/>
      <c r="G63" s="38"/>
      <c r="H63" s="38"/>
      <c r="I63" s="38"/>
      <c r="J63" s="38"/>
      <c r="K63" s="38"/>
      <c r="L63" s="30"/>
      <c r="M63" s="30"/>
      <c r="N63" s="34"/>
      <c r="O63" s="34"/>
      <c r="P63" s="34"/>
      <c r="Q63" s="34"/>
      <c r="R63" s="30"/>
      <c r="S63" s="30"/>
      <c r="T63" s="30"/>
      <c r="U63" s="32"/>
      <c r="V63" s="32"/>
      <c r="W63" s="32"/>
      <c r="X63" s="33" t="str">
        <f aca="false">IF($A63="","",SUM($U63:$W63))</f>
        <v/>
      </c>
    </row>
    <row r="64" customFormat="false" ht="30" hidden="false" customHeight="true" outlineLevel="0" collapsed="false">
      <c r="A64" s="30"/>
      <c r="B64" s="37" t="str">
        <f aca="false">IF($A64="","",IFERROR(INDEX('Fragrance Projects'!$C$5:$C$64,MATCH($A64,'Fragrance Projects'!$A$5:$A$64,0)),""))</f>
        <v/>
      </c>
      <c r="C64" s="37" t="str">
        <f aca="false">IF($A64="","",IFERROR(INDEX('Fragrance Projects'!$D$5:$D$64,MATCH($A64,'Fragrance Projects'!$A$5:$A$64,0)),""))</f>
        <v/>
      </c>
      <c r="D64" s="30"/>
      <c r="E64" s="30"/>
      <c r="F64" s="38"/>
      <c r="G64" s="38"/>
      <c r="H64" s="38"/>
      <c r="I64" s="38"/>
      <c r="J64" s="38"/>
      <c r="K64" s="38"/>
      <c r="L64" s="30"/>
      <c r="M64" s="30"/>
      <c r="N64" s="34"/>
      <c r="O64" s="34"/>
      <c r="P64" s="34"/>
      <c r="Q64" s="34"/>
      <c r="R64" s="30"/>
      <c r="S64" s="30"/>
      <c r="T64" s="30"/>
      <c r="U64" s="32"/>
      <c r="V64" s="32"/>
      <c r="W64" s="32"/>
      <c r="X64" s="33" t="str">
        <f aca="false">IF($A64="","",SUM($U64:$W64))</f>
        <v/>
      </c>
    </row>
    <row r="65" customFormat="false" ht="30" hidden="false" customHeight="true" outlineLevel="0" collapsed="false">
      <c r="A65" s="30"/>
      <c r="B65" s="37" t="str">
        <f aca="false">IF($A65="","",IFERROR(INDEX('Fragrance Projects'!$C$5:$C$64,MATCH($A65,'Fragrance Projects'!$A$5:$A$64,0)),""))</f>
        <v/>
      </c>
      <c r="C65" s="37" t="str">
        <f aca="false">IF($A65="","",IFERROR(INDEX('Fragrance Projects'!$D$5:$D$64,MATCH($A65,'Fragrance Projects'!$A$5:$A$64,0)),""))</f>
        <v/>
      </c>
      <c r="D65" s="30"/>
      <c r="E65" s="30"/>
      <c r="F65" s="38"/>
      <c r="G65" s="38"/>
      <c r="H65" s="38"/>
      <c r="I65" s="38"/>
      <c r="J65" s="38"/>
      <c r="K65" s="38"/>
      <c r="L65" s="30"/>
      <c r="M65" s="30"/>
      <c r="N65" s="34"/>
      <c r="O65" s="34"/>
      <c r="P65" s="34"/>
      <c r="Q65" s="34"/>
      <c r="R65" s="30"/>
      <c r="S65" s="30"/>
      <c r="T65" s="30"/>
      <c r="U65" s="32"/>
      <c r="V65" s="32"/>
      <c r="W65" s="32"/>
      <c r="X65" s="33" t="str">
        <f aca="false">IF($A65="","",SUM($U65:$W65))</f>
        <v/>
      </c>
    </row>
    <row r="66" customFormat="false" ht="30" hidden="false" customHeight="true" outlineLevel="0" collapsed="false">
      <c r="A66" s="30"/>
      <c r="B66" s="37" t="str">
        <f aca="false">IF($A66="","",IFERROR(INDEX('Fragrance Projects'!$C$5:$C$64,MATCH($A66,'Fragrance Projects'!$A$5:$A$64,0)),""))</f>
        <v/>
      </c>
      <c r="C66" s="37" t="str">
        <f aca="false">IF($A66="","",IFERROR(INDEX('Fragrance Projects'!$D$5:$D$64,MATCH($A66,'Fragrance Projects'!$A$5:$A$64,0)),""))</f>
        <v/>
      </c>
      <c r="D66" s="30"/>
      <c r="E66" s="30"/>
      <c r="F66" s="38"/>
      <c r="G66" s="38"/>
      <c r="H66" s="38"/>
      <c r="I66" s="38"/>
      <c r="J66" s="38"/>
      <c r="K66" s="38"/>
      <c r="L66" s="30"/>
      <c r="M66" s="30"/>
      <c r="N66" s="34"/>
      <c r="O66" s="34"/>
      <c r="P66" s="34"/>
      <c r="Q66" s="34"/>
      <c r="R66" s="30"/>
      <c r="S66" s="30"/>
      <c r="T66" s="30"/>
      <c r="U66" s="32"/>
      <c r="V66" s="32"/>
      <c r="W66" s="32"/>
      <c r="X66" s="33" t="str">
        <f aca="false">IF($A66="","",SUM($U66:$W66))</f>
        <v/>
      </c>
    </row>
    <row r="67" customFormat="false" ht="30" hidden="false" customHeight="true" outlineLevel="0" collapsed="false">
      <c r="A67" s="30"/>
      <c r="B67" s="37" t="str">
        <f aca="false">IF($A67="","",IFERROR(INDEX('Fragrance Projects'!$C$5:$C$64,MATCH($A67,'Fragrance Projects'!$A$5:$A$64,0)),""))</f>
        <v/>
      </c>
      <c r="C67" s="37" t="str">
        <f aca="false">IF($A67="","",IFERROR(INDEX('Fragrance Projects'!$D$5:$D$64,MATCH($A67,'Fragrance Projects'!$A$5:$A$64,0)),""))</f>
        <v/>
      </c>
      <c r="D67" s="30"/>
      <c r="E67" s="30"/>
      <c r="F67" s="38"/>
      <c r="G67" s="38"/>
      <c r="H67" s="38"/>
      <c r="I67" s="38"/>
      <c r="J67" s="38"/>
      <c r="K67" s="38"/>
      <c r="L67" s="30"/>
      <c r="M67" s="30"/>
      <c r="N67" s="34"/>
      <c r="O67" s="34"/>
      <c r="P67" s="34"/>
      <c r="Q67" s="34"/>
      <c r="R67" s="30"/>
      <c r="S67" s="30"/>
      <c r="T67" s="30"/>
      <c r="U67" s="32"/>
      <c r="V67" s="32"/>
      <c r="W67" s="32"/>
      <c r="X67" s="33" t="str">
        <f aca="false">IF($A67="","",SUM($U67:$W67))</f>
        <v/>
      </c>
    </row>
    <row r="68" customFormat="false" ht="30" hidden="false" customHeight="true" outlineLevel="0" collapsed="false">
      <c r="A68" s="30"/>
      <c r="B68" s="37" t="str">
        <f aca="false">IF($A68="","",IFERROR(INDEX('Fragrance Projects'!$C$5:$C$64,MATCH($A68,'Fragrance Projects'!$A$5:$A$64,0)),""))</f>
        <v/>
      </c>
      <c r="C68" s="37" t="str">
        <f aca="false">IF($A68="","",IFERROR(INDEX('Fragrance Projects'!$D$5:$D$64,MATCH($A68,'Fragrance Projects'!$A$5:$A$64,0)),""))</f>
        <v/>
      </c>
      <c r="D68" s="30"/>
      <c r="E68" s="30"/>
      <c r="F68" s="38"/>
      <c r="G68" s="38"/>
      <c r="H68" s="38"/>
      <c r="I68" s="38"/>
      <c r="J68" s="38"/>
      <c r="K68" s="38"/>
      <c r="L68" s="30"/>
      <c r="M68" s="30"/>
      <c r="N68" s="34"/>
      <c r="O68" s="34"/>
      <c r="P68" s="34"/>
      <c r="Q68" s="34"/>
      <c r="R68" s="30"/>
      <c r="S68" s="30"/>
      <c r="T68" s="30"/>
      <c r="U68" s="32"/>
      <c r="V68" s="32"/>
      <c r="W68" s="32"/>
      <c r="X68" s="33" t="str">
        <f aca="false">IF($A68="","",SUM($U68:$W68))</f>
        <v/>
      </c>
    </row>
    <row r="69" customFormat="false" ht="30" hidden="false" customHeight="true" outlineLevel="0" collapsed="false">
      <c r="A69" s="30"/>
      <c r="B69" s="37" t="str">
        <f aca="false">IF($A69="","",IFERROR(INDEX('Fragrance Projects'!$C$5:$C$64,MATCH($A69,'Fragrance Projects'!$A$5:$A$64,0)),""))</f>
        <v/>
      </c>
      <c r="C69" s="37" t="str">
        <f aca="false">IF($A69="","",IFERROR(INDEX('Fragrance Projects'!$D$5:$D$64,MATCH($A69,'Fragrance Projects'!$A$5:$A$64,0)),""))</f>
        <v/>
      </c>
      <c r="D69" s="30"/>
      <c r="E69" s="30"/>
      <c r="F69" s="38"/>
      <c r="G69" s="38"/>
      <c r="H69" s="38"/>
      <c r="I69" s="38"/>
      <c r="J69" s="38"/>
      <c r="K69" s="38"/>
      <c r="L69" s="30"/>
      <c r="M69" s="30"/>
      <c r="N69" s="34"/>
      <c r="O69" s="34"/>
      <c r="P69" s="34"/>
      <c r="Q69" s="34"/>
      <c r="R69" s="30"/>
      <c r="S69" s="30"/>
      <c r="T69" s="30"/>
      <c r="U69" s="32"/>
      <c r="V69" s="32"/>
      <c r="W69" s="32"/>
      <c r="X69" s="33" t="str">
        <f aca="false">IF($A69="","",SUM($U69:$W69))</f>
        <v/>
      </c>
    </row>
    <row r="70" customFormat="false" ht="30" hidden="false" customHeight="true" outlineLevel="0" collapsed="false">
      <c r="A70" s="30"/>
      <c r="B70" s="37" t="str">
        <f aca="false">IF($A70="","",IFERROR(INDEX('Fragrance Projects'!$C$5:$C$64,MATCH($A70,'Fragrance Projects'!$A$5:$A$64,0)),""))</f>
        <v/>
      </c>
      <c r="C70" s="37" t="str">
        <f aca="false">IF($A70="","",IFERROR(INDEX('Fragrance Projects'!$D$5:$D$64,MATCH($A70,'Fragrance Projects'!$A$5:$A$64,0)),""))</f>
        <v/>
      </c>
      <c r="D70" s="30"/>
      <c r="E70" s="30"/>
      <c r="F70" s="38"/>
      <c r="G70" s="38"/>
      <c r="H70" s="38"/>
      <c r="I70" s="38"/>
      <c r="J70" s="38"/>
      <c r="K70" s="38"/>
      <c r="L70" s="30"/>
      <c r="M70" s="30"/>
      <c r="N70" s="34"/>
      <c r="O70" s="34"/>
      <c r="P70" s="34"/>
      <c r="Q70" s="34"/>
      <c r="R70" s="30"/>
      <c r="S70" s="30"/>
      <c r="T70" s="30"/>
      <c r="U70" s="32"/>
      <c r="V70" s="32"/>
      <c r="W70" s="32"/>
      <c r="X70" s="33" t="str">
        <f aca="false">IF($A70="","",SUM($U70:$W70))</f>
        <v/>
      </c>
    </row>
    <row r="71" customFormat="false" ht="30" hidden="false" customHeight="true" outlineLevel="0" collapsed="false">
      <c r="A71" s="30"/>
      <c r="B71" s="37" t="str">
        <f aca="false">IF($A71="","",IFERROR(INDEX('Fragrance Projects'!$C$5:$C$64,MATCH($A71,'Fragrance Projects'!$A$5:$A$64,0)),""))</f>
        <v/>
      </c>
      <c r="C71" s="37" t="str">
        <f aca="false">IF($A71="","",IFERROR(INDEX('Fragrance Projects'!$D$5:$D$64,MATCH($A71,'Fragrance Projects'!$A$5:$A$64,0)),""))</f>
        <v/>
      </c>
      <c r="D71" s="30"/>
      <c r="E71" s="30"/>
      <c r="F71" s="38"/>
      <c r="G71" s="38"/>
      <c r="H71" s="38"/>
      <c r="I71" s="38"/>
      <c r="J71" s="38"/>
      <c r="K71" s="38"/>
      <c r="L71" s="30"/>
      <c r="M71" s="30"/>
      <c r="N71" s="34"/>
      <c r="O71" s="34"/>
      <c r="P71" s="34"/>
      <c r="Q71" s="34"/>
      <c r="R71" s="30"/>
      <c r="S71" s="30"/>
      <c r="T71" s="30"/>
      <c r="U71" s="32"/>
      <c r="V71" s="32"/>
      <c r="W71" s="32"/>
      <c r="X71" s="33" t="str">
        <f aca="false">IF($A71="","",SUM($U71:$W71))</f>
        <v/>
      </c>
    </row>
    <row r="72" customFormat="false" ht="30" hidden="false" customHeight="true" outlineLevel="0" collapsed="false">
      <c r="A72" s="30"/>
      <c r="B72" s="37" t="str">
        <f aca="false">IF($A72="","",IFERROR(INDEX('Fragrance Projects'!$C$5:$C$64,MATCH($A72,'Fragrance Projects'!$A$5:$A$64,0)),""))</f>
        <v/>
      </c>
      <c r="C72" s="37" t="str">
        <f aca="false">IF($A72="","",IFERROR(INDEX('Fragrance Projects'!$D$5:$D$64,MATCH($A72,'Fragrance Projects'!$A$5:$A$64,0)),""))</f>
        <v/>
      </c>
      <c r="D72" s="30"/>
      <c r="E72" s="30"/>
      <c r="F72" s="38"/>
      <c r="G72" s="38"/>
      <c r="H72" s="38"/>
      <c r="I72" s="38"/>
      <c r="J72" s="38"/>
      <c r="K72" s="38"/>
      <c r="L72" s="30"/>
      <c r="M72" s="30"/>
      <c r="N72" s="34"/>
      <c r="O72" s="34"/>
      <c r="P72" s="34"/>
      <c r="Q72" s="34"/>
      <c r="R72" s="30"/>
      <c r="S72" s="30"/>
      <c r="T72" s="30"/>
      <c r="U72" s="32"/>
      <c r="V72" s="32"/>
      <c r="W72" s="32"/>
      <c r="X72" s="33" t="str">
        <f aca="false">IF($A72="","",SUM($U72:$W72))</f>
        <v/>
      </c>
    </row>
    <row r="73" customFormat="false" ht="30" hidden="false" customHeight="true" outlineLevel="0" collapsed="false">
      <c r="A73" s="30"/>
      <c r="B73" s="37" t="str">
        <f aca="false">IF($A73="","",IFERROR(INDEX('Fragrance Projects'!$C$5:$C$64,MATCH($A73,'Fragrance Projects'!$A$5:$A$64,0)),""))</f>
        <v/>
      </c>
      <c r="C73" s="37" t="str">
        <f aca="false">IF($A73="","",IFERROR(INDEX('Fragrance Projects'!$D$5:$D$64,MATCH($A73,'Fragrance Projects'!$A$5:$A$64,0)),""))</f>
        <v/>
      </c>
      <c r="D73" s="30"/>
      <c r="E73" s="30"/>
      <c r="F73" s="38"/>
      <c r="G73" s="38"/>
      <c r="H73" s="38"/>
      <c r="I73" s="38"/>
      <c r="J73" s="38"/>
      <c r="K73" s="38"/>
      <c r="L73" s="30"/>
      <c r="M73" s="30"/>
      <c r="N73" s="34"/>
      <c r="O73" s="34"/>
      <c r="P73" s="34"/>
      <c r="Q73" s="34"/>
      <c r="R73" s="30"/>
      <c r="S73" s="30"/>
      <c r="T73" s="30"/>
      <c r="U73" s="32"/>
      <c r="V73" s="32"/>
      <c r="W73" s="32"/>
      <c r="X73" s="33" t="str">
        <f aca="false">IF($A73="","",SUM($U73:$W73))</f>
        <v/>
      </c>
    </row>
    <row r="74" customFormat="false" ht="30" hidden="false" customHeight="true" outlineLevel="0" collapsed="false">
      <c r="A74" s="30"/>
      <c r="B74" s="37" t="str">
        <f aca="false">IF($A74="","",IFERROR(INDEX('Fragrance Projects'!$C$5:$C$64,MATCH($A74,'Fragrance Projects'!$A$5:$A$64,0)),""))</f>
        <v/>
      </c>
      <c r="C74" s="37" t="str">
        <f aca="false">IF($A74="","",IFERROR(INDEX('Fragrance Projects'!$D$5:$D$64,MATCH($A74,'Fragrance Projects'!$A$5:$A$64,0)),""))</f>
        <v/>
      </c>
      <c r="D74" s="30"/>
      <c r="E74" s="30"/>
      <c r="F74" s="38"/>
      <c r="G74" s="38"/>
      <c r="H74" s="38"/>
      <c r="I74" s="38"/>
      <c r="J74" s="38"/>
      <c r="K74" s="38"/>
      <c r="L74" s="30"/>
      <c r="M74" s="30"/>
      <c r="N74" s="34"/>
      <c r="O74" s="34"/>
      <c r="P74" s="34"/>
      <c r="Q74" s="34"/>
      <c r="R74" s="30"/>
      <c r="S74" s="30"/>
      <c r="T74" s="30"/>
      <c r="U74" s="32"/>
      <c r="V74" s="32"/>
      <c r="W74" s="32"/>
      <c r="X74" s="33" t="str">
        <f aca="false">IF($A74="","",SUM($U74:$W74))</f>
        <v/>
      </c>
    </row>
    <row r="75" customFormat="false" ht="30" hidden="false" customHeight="true" outlineLevel="0" collapsed="false">
      <c r="A75" s="30"/>
      <c r="B75" s="37" t="str">
        <f aca="false">IF($A75="","",IFERROR(INDEX('Fragrance Projects'!$C$5:$C$64,MATCH($A75,'Fragrance Projects'!$A$5:$A$64,0)),""))</f>
        <v/>
      </c>
      <c r="C75" s="37" t="str">
        <f aca="false">IF($A75="","",IFERROR(INDEX('Fragrance Projects'!$D$5:$D$64,MATCH($A75,'Fragrance Projects'!$A$5:$A$64,0)),""))</f>
        <v/>
      </c>
      <c r="D75" s="30"/>
      <c r="E75" s="30"/>
      <c r="F75" s="38"/>
      <c r="G75" s="38"/>
      <c r="H75" s="38"/>
      <c r="I75" s="38"/>
      <c r="J75" s="38"/>
      <c r="K75" s="38"/>
      <c r="L75" s="30"/>
      <c r="M75" s="30"/>
      <c r="N75" s="34"/>
      <c r="O75" s="34"/>
      <c r="P75" s="34"/>
      <c r="Q75" s="34"/>
      <c r="R75" s="30"/>
      <c r="S75" s="30"/>
      <c r="T75" s="30"/>
      <c r="U75" s="32"/>
      <c r="V75" s="32"/>
      <c r="W75" s="32"/>
      <c r="X75" s="33" t="str">
        <f aca="false">IF($A75="","",SUM($U75:$W75))</f>
        <v/>
      </c>
    </row>
    <row r="76" customFormat="false" ht="30" hidden="false" customHeight="true" outlineLevel="0" collapsed="false">
      <c r="A76" s="30"/>
      <c r="B76" s="37" t="str">
        <f aca="false">IF($A76="","",IFERROR(INDEX('Fragrance Projects'!$C$5:$C$64,MATCH($A76,'Fragrance Projects'!$A$5:$A$64,0)),""))</f>
        <v/>
      </c>
      <c r="C76" s="37" t="str">
        <f aca="false">IF($A76="","",IFERROR(INDEX('Fragrance Projects'!$D$5:$D$64,MATCH($A76,'Fragrance Projects'!$A$5:$A$64,0)),""))</f>
        <v/>
      </c>
      <c r="D76" s="30"/>
      <c r="E76" s="30"/>
      <c r="F76" s="38"/>
      <c r="G76" s="38"/>
      <c r="H76" s="38"/>
      <c r="I76" s="38"/>
      <c r="J76" s="38"/>
      <c r="K76" s="38"/>
      <c r="L76" s="30"/>
      <c r="M76" s="30"/>
      <c r="N76" s="34"/>
      <c r="O76" s="34"/>
      <c r="P76" s="34"/>
      <c r="Q76" s="34"/>
      <c r="R76" s="30"/>
      <c r="S76" s="30"/>
      <c r="T76" s="30"/>
      <c r="U76" s="32"/>
      <c r="V76" s="32"/>
      <c r="W76" s="32"/>
      <c r="X76" s="33" t="str">
        <f aca="false">IF($A76="","",SUM($U76:$W76))</f>
        <v/>
      </c>
    </row>
    <row r="77" customFormat="false" ht="30" hidden="false" customHeight="true" outlineLevel="0" collapsed="false">
      <c r="A77" s="30"/>
      <c r="B77" s="37" t="str">
        <f aca="false">IF($A77="","",IFERROR(INDEX('Fragrance Projects'!$C$5:$C$64,MATCH($A77,'Fragrance Projects'!$A$5:$A$64,0)),""))</f>
        <v/>
      </c>
      <c r="C77" s="37" t="str">
        <f aca="false">IF($A77="","",IFERROR(INDEX('Fragrance Projects'!$D$5:$D$64,MATCH($A77,'Fragrance Projects'!$A$5:$A$64,0)),""))</f>
        <v/>
      </c>
      <c r="D77" s="30"/>
      <c r="E77" s="30"/>
      <c r="F77" s="38"/>
      <c r="G77" s="38"/>
      <c r="H77" s="38"/>
      <c r="I77" s="38"/>
      <c r="J77" s="38"/>
      <c r="K77" s="38"/>
      <c r="L77" s="30"/>
      <c r="M77" s="30"/>
      <c r="N77" s="34"/>
      <c r="O77" s="34"/>
      <c r="P77" s="34"/>
      <c r="Q77" s="34"/>
      <c r="R77" s="30"/>
      <c r="S77" s="30"/>
      <c r="T77" s="30"/>
      <c r="U77" s="32"/>
      <c r="V77" s="32"/>
      <c r="W77" s="32"/>
      <c r="X77" s="33" t="str">
        <f aca="false">IF($A77="","",SUM($U77:$W77))</f>
        <v/>
      </c>
    </row>
    <row r="78" customFormat="false" ht="30" hidden="false" customHeight="true" outlineLevel="0" collapsed="false">
      <c r="A78" s="30"/>
      <c r="B78" s="37" t="str">
        <f aca="false">IF($A78="","",IFERROR(INDEX('Fragrance Projects'!$C$5:$C$64,MATCH($A78,'Fragrance Projects'!$A$5:$A$64,0)),""))</f>
        <v/>
      </c>
      <c r="C78" s="37" t="str">
        <f aca="false">IF($A78="","",IFERROR(INDEX('Fragrance Projects'!$D$5:$D$64,MATCH($A78,'Fragrance Projects'!$A$5:$A$64,0)),""))</f>
        <v/>
      </c>
      <c r="D78" s="30"/>
      <c r="E78" s="30"/>
      <c r="F78" s="38"/>
      <c r="G78" s="38"/>
      <c r="H78" s="38"/>
      <c r="I78" s="38"/>
      <c r="J78" s="38"/>
      <c r="K78" s="38"/>
      <c r="L78" s="30"/>
      <c r="M78" s="30"/>
      <c r="N78" s="34"/>
      <c r="O78" s="34"/>
      <c r="P78" s="34"/>
      <c r="Q78" s="34"/>
      <c r="R78" s="30"/>
      <c r="S78" s="30"/>
      <c r="T78" s="30"/>
      <c r="U78" s="32"/>
      <c r="V78" s="32"/>
      <c r="W78" s="32"/>
      <c r="X78" s="33" t="str">
        <f aca="false">IF($A78="","",SUM($U78:$W78))</f>
        <v/>
      </c>
    </row>
    <row r="79" customFormat="false" ht="30" hidden="false" customHeight="true" outlineLevel="0" collapsed="false">
      <c r="A79" s="30"/>
      <c r="B79" s="37" t="str">
        <f aca="false">IF($A79="","",IFERROR(INDEX('Fragrance Projects'!$C$5:$C$64,MATCH($A79,'Fragrance Projects'!$A$5:$A$64,0)),""))</f>
        <v/>
      </c>
      <c r="C79" s="37" t="str">
        <f aca="false">IF($A79="","",IFERROR(INDEX('Fragrance Projects'!$D$5:$D$64,MATCH($A79,'Fragrance Projects'!$A$5:$A$64,0)),""))</f>
        <v/>
      </c>
      <c r="D79" s="30"/>
      <c r="E79" s="30"/>
      <c r="F79" s="38"/>
      <c r="G79" s="38"/>
      <c r="H79" s="38"/>
      <c r="I79" s="38"/>
      <c r="J79" s="38"/>
      <c r="K79" s="38"/>
      <c r="L79" s="30"/>
      <c r="M79" s="30"/>
      <c r="N79" s="34"/>
      <c r="O79" s="34"/>
      <c r="P79" s="34"/>
      <c r="Q79" s="34"/>
      <c r="R79" s="30"/>
      <c r="S79" s="30"/>
      <c r="T79" s="30"/>
      <c r="U79" s="32"/>
      <c r="V79" s="32"/>
      <c r="W79" s="32"/>
      <c r="X79" s="33" t="str">
        <f aca="false">IF($A79="","",SUM($U79:$W79))</f>
        <v/>
      </c>
    </row>
    <row r="80" customFormat="false" ht="30" hidden="false" customHeight="true" outlineLevel="0" collapsed="false">
      <c r="A80" s="30"/>
      <c r="B80" s="37" t="str">
        <f aca="false">IF($A80="","",IFERROR(INDEX('Fragrance Projects'!$C$5:$C$64,MATCH($A80,'Fragrance Projects'!$A$5:$A$64,0)),""))</f>
        <v/>
      </c>
      <c r="C80" s="37" t="str">
        <f aca="false">IF($A80="","",IFERROR(INDEX('Fragrance Projects'!$D$5:$D$64,MATCH($A80,'Fragrance Projects'!$A$5:$A$64,0)),""))</f>
        <v/>
      </c>
      <c r="D80" s="30"/>
      <c r="E80" s="30"/>
      <c r="F80" s="38"/>
      <c r="G80" s="38"/>
      <c r="H80" s="38"/>
      <c r="I80" s="38"/>
      <c r="J80" s="38"/>
      <c r="K80" s="38"/>
      <c r="L80" s="30"/>
      <c r="M80" s="30"/>
      <c r="N80" s="34"/>
      <c r="O80" s="34"/>
      <c r="P80" s="34"/>
      <c r="Q80" s="34"/>
      <c r="R80" s="30"/>
      <c r="S80" s="30"/>
      <c r="T80" s="30"/>
      <c r="U80" s="32"/>
      <c r="V80" s="32"/>
      <c r="W80" s="32"/>
      <c r="X80" s="33" t="str">
        <f aca="false">IF($A80="","",SUM($U80:$W80))</f>
        <v/>
      </c>
    </row>
    <row r="81" customFormat="false" ht="30" hidden="false" customHeight="true" outlineLevel="0" collapsed="false">
      <c r="A81" s="30"/>
      <c r="B81" s="37" t="str">
        <f aca="false">IF($A81="","",IFERROR(INDEX('Fragrance Projects'!$C$5:$C$64,MATCH($A81,'Fragrance Projects'!$A$5:$A$64,0)),""))</f>
        <v/>
      </c>
      <c r="C81" s="37" t="str">
        <f aca="false">IF($A81="","",IFERROR(INDEX('Fragrance Projects'!$D$5:$D$64,MATCH($A81,'Fragrance Projects'!$A$5:$A$64,0)),""))</f>
        <v/>
      </c>
      <c r="D81" s="30"/>
      <c r="E81" s="30"/>
      <c r="F81" s="38"/>
      <c r="G81" s="38"/>
      <c r="H81" s="38"/>
      <c r="I81" s="38"/>
      <c r="J81" s="38"/>
      <c r="K81" s="38"/>
      <c r="L81" s="30"/>
      <c r="M81" s="30"/>
      <c r="N81" s="34"/>
      <c r="O81" s="34"/>
      <c r="P81" s="34"/>
      <c r="Q81" s="34"/>
      <c r="R81" s="30"/>
      <c r="S81" s="30"/>
      <c r="T81" s="30"/>
      <c r="U81" s="32"/>
      <c r="V81" s="32"/>
      <c r="W81" s="32"/>
      <c r="X81" s="33" t="str">
        <f aca="false">IF($A81="","",SUM($U81:$W81))</f>
        <v/>
      </c>
    </row>
    <row r="82" customFormat="false" ht="30" hidden="false" customHeight="true" outlineLevel="0" collapsed="false">
      <c r="A82" s="30"/>
      <c r="B82" s="37" t="str">
        <f aca="false">IF($A82="","",IFERROR(INDEX('Fragrance Projects'!$C$5:$C$64,MATCH($A82,'Fragrance Projects'!$A$5:$A$64,0)),""))</f>
        <v/>
      </c>
      <c r="C82" s="37" t="str">
        <f aca="false">IF($A82="","",IFERROR(INDEX('Fragrance Projects'!$D$5:$D$64,MATCH($A82,'Fragrance Projects'!$A$5:$A$64,0)),""))</f>
        <v/>
      </c>
      <c r="D82" s="30"/>
      <c r="E82" s="30"/>
      <c r="F82" s="38"/>
      <c r="G82" s="38"/>
      <c r="H82" s="38"/>
      <c r="I82" s="38"/>
      <c r="J82" s="38"/>
      <c r="K82" s="38"/>
      <c r="L82" s="30"/>
      <c r="M82" s="30"/>
      <c r="N82" s="34"/>
      <c r="O82" s="34"/>
      <c r="P82" s="34"/>
      <c r="Q82" s="34"/>
      <c r="R82" s="30"/>
      <c r="S82" s="30"/>
      <c r="T82" s="30"/>
      <c r="U82" s="32"/>
      <c r="V82" s="32"/>
      <c r="W82" s="32"/>
      <c r="X82" s="33" t="str">
        <f aca="false">IF($A82="","",SUM($U82:$W82))</f>
        <v/>
      </c>
    </row>
    <row r="83" customFormat="false" ht="30" hidden="false" customHeight="true" outlineLevel="0" collapsed="false">
      <c r="A83" s="30"/>
      <c r="B83" s="37" t="str">
        <f aca="false">IF($A83="","",IFERROR(INDEX('Fragrance Projects'!$C$5:$C$64,MATCH($A83,'Fragrance Projects'!$A$5:$A$64,0)),""))</f>
        <v/>
      </c>
      <c r="C83" s="37" t="str">
        <f aca="false">IF($A83="","",IFERROR(INDEX('Fragrance Projects'!$D$5:$D$64,MATCH($A83,'Fragrance Projects'!$A$5:$A$64,0)),""))</f>
        <v/>
      </c>
      <c r="D83" s="30"/>
      <c r="E83" s="30"/>
      <c r="F83" s="38"/>
      <c r="G83" s="38"/>
      <c r="H83" s="38"/>
      <c r="I83" s="38"/>
      <c r="J83" s="38"/>
      <c r="K83" s="38"/>
      <c r="L83" s="30"/>
      <c r="M83" s="30"/>
      <c r="N83" s="34"/>
      <c r="O83" s="34"/>
      <c r="P83" s="34"/>
      <c r="Q83" s="34"/>
      <c r="R83" s="30"/>
      <c r="S83" s="30"/>
      <c r="T83" s="30"/>
      <c r="U83" s="32"/>
      <c r="V83" s="32"/>
      <c r="W83" s="32"/>
      <c r="X83" s="33" t="str">
        <f aca="false">IF($A83="","",SUM($U83:$W83))</f>
        <v/>
      </c>
    </row>
    <row r="84" customFormat="false" ht="30" hidden="false" customHeight="true" outlineLevel="0" collapsed="false">
      <c r="A84" s="30"/>
      <c r="B84" s="37" t="str">
        <f aca="false">IF($A84="","",IFERROR(INDEX('Fragrance Projects'!$C$5:$C$64,MATCH($A84,'Fragrance Projects'!$A$5:$A$64,0)),""))</f>
        <v/>
      </c>
      <c r="C84" s="37" t="str">
        <f aca="false">IF($A84="","",IFERROR(INDEX('Fragrance Projects'!$D$5:$D$64,MATCH($A84,'Fragrance Projects'!$A$5:$A$64,0)),""))</f>
        <v/>
      </c>
      <c r="D84" s="30"/>
      <c r="E84" s="30"/>
      <c r="F84" s="38"/>
      <c r="G84" s="38"/>
      <c r="H84" s="38"/>
      <c r="I84" s="38"/>
      <c r="J84" s="38"/>
      <c r="K84" s="38"/>
      <c r="L84" s="30"/>
      <c r="M84" s="30"/>
      <c r="N84" s="34"/>
      <c r="O84" s="34"/>
      <c r="P84" s="34"/>
      <c r="Q84" s="34"/>
      <c r="R84" s="30"/>
      <c r="S84" s="30"/>
      <c r="T84" s="30"/>
      <c r="U84" s="32"/>
      <c r="V84" s="32"/>
      <c r="W84" s="32"/>
      <c r="X84" s="33" t="str">
        <f aca="false">IF($A84="","",SUM($U84:$W84))</f>
        <v/>
      </c>
    </row>
    <row r="85" customFormat="false" ht="30" hidden="false" customHeight="true" outlineLevel="0" collapsed="false">
      <c r="A85" s="30"/>
      <c r="B85" s="37" t="str">
        <f aca="false">IF($A85="","",IFERROR(INDEX('Fragrance Projects'!$C$5:$C$64,MATCH($A85,'Fragrance Projects'!$A$5:$A$64,0)),""))</f>
        <v/>
      </c>
      <c r="C85" s="37" t="str">
        <f aca="false">IF($A85="","",IFERROR(INDEX('Fragrance Projects'!$D$5:$D$64,MATCH($A85,'Fragrance Projects'!$A$5:$A$64,0)),""))</f>
        <v/>
      </c>
      <c r="D85" s="30"/>
      <c r="E85" s="30"/>
      <c r="F85" s="38"/>
      <c r="G85" s="38"/>
      <c r="H85" s="38"/>
      <c r="I85" s="38"/>
      <c r="J85" s="38"/>
      <c r="K85" s="38"/>
      <c r="L85" s="30"/>
      <c r="M85" s="30"/>
      <c r="N85" s="34"/>
      <c r="O85" s="34"/>
      <c r="P85" s="34"/>
      <c r="Q85" s="34"/>
      <c r="R85" s="30"/>
      <c r="S85" s="30"/>
      <c r="T85" s="30"/>
      <c r="U85" s="32"/>
      <c r="V85" s="32"/>
      <c r="W85" s="32"/>
      <c r="X85" s="33" t="str">
        <f aca="false">IF($A85="","",SUM($U85:$W85))</f>
        <v/>
      </c>
    </row>
    <row r="86" customFormat="false" ht="30" hidden="false" customHeight="true" outlineLevel="0" collapsed="false">
      <c r="A86" s="30"/>
      <c r="B86" s="37" t="str">
        <f aca="false">IF($A86="","",IFERROR(INDEX('Fragrance Projects'!$C$5:$C$64,MATCH($A86,'Fragrance Projects'!$A$5:$A$64,0)),""))</f>
        <v/>
      </c>
      <c r="C86" s="37" t="str">
        <f aca="false">IF($A86="","",IFERROR(INDEX('Fragrance Projects'!$D$5:$D$64,MATCH($A86,'Fragrance Projects'!$A$5:$A$64,0)),""))</f>
        <v/>
      </c>
      <c r="D86" s="30"/>
      <c r="E86" s="30"/>
      <c r="F86" s="38"/>
      <c r="G86" s="38"/>
      <c r="H86" s="38"/>
      <c r="I86" s="38"/>
      <c r="J86" s="38"/>
      <c r="K86" s="38"/>
      <c r="L86" s="30"/>
      <c r="M86" s="30"/>
      <c r="N86" s="34"/>
      <c r="O86" s="34"/>
      <c r="P86" s="34"/>
      <c r="Q86" s="34"/>
      <c r="R86" s="30"/>
      <c r="S86" s="30"/>
      <c r="T86" s="30"/>
      <c r="U86" s="32"/>
      <c r="V86" s="32"/>
      <c r="W86" s="32"/>
      <c r="X86" s="33" t="str">
        <f aca="false">IF($A86="","",SUM($U86:$W86))</f>
        <v/>
      </c>
    </row>
    <row r="87" customFormat="false" ht="30" hidden="false" customHeight="true" outlineLevel="0" collapsed="false">
      <c r="A87" s="30"/>
      <c r="B87" s="37" t="str">
        <f aca="false">IF($A87="","",IFERROR(INDEX('Fragrance Projects'!$C$5:$C$64,MATCH($A87,'Fragrance Projects'!$A$5:$A$64,0)),""))</f>
        <v/>
      </c>
      <c r="C87" s="37" t="str">
        <f aca="false">IF($A87="","",IFERROR(INDEX('Fragrance Projects'!$D$5:$D$64,MATCH($A87,'Fragrance Projects'!$A$5:$A$64,0)),""))</f>
        <v/>
      </c>
      <c r="D87" s="30"/>
      <c r="E87" s="30"/>
      <c r="F87" s="38"/>
      <c r="G87" s="38"/>
      <c r="H87" s="38"/>
      <c r="I87" s="38"/>
      <c r="J87" s="38"/>
      <c r="K87" s="38"/>
      <c r="L87" s="30"/>
      <c r="M87" s="30"/>
      <c r="N87" s="34"/>
      <c r="O87" s="34"/>
      <c r="P87" s="34"/>
      <c r="Q87" s="34"/>
      <c r="R87" s="30"/>
      <c r="S87" s="30"/>
      <c r="T87" s="30"/>
      <c r="U87" s="32"/>
      <c r="V87" s="32"/>
      <c r="W87" s="32"/>
      <c r="X87" s="33" t="str">
        <f aca="false">IF($A87="","",SUM($U87:$W87))</f>
        <v/>
      </c>
    </row>
    <row r="88" customFormat="false" ht="30" hidden="false" customHeight="true" outlineLevel="0" collapsed="false">
      <c r="A88" s="30"/>
      <c r="B88" s="37" t="str">
        <f aca="false">IF($A88="","",IFERROR(INDEX('Fragrance Projects'!$C$5:$C$64,MATCH($A88,'Fragrance Projects'!$A$5:$A$64,0)),""))</f>
        <v/>
      </c>
      <c r="C88" s="37" t="str">
        <f aca="false">IF($A88="","",IFERROR(INDEX('Fragrance Projects'!$D$5:$D$64,MATCH($A88,'Fragrance Projects'!$A$5:$A$64,0)),""))</f>
        <v/>
      </c>
      <c r="D88" s="30"/>
      <c r="E88" s="30"/>
      <c r="F88" s="38"/>
      <c r="G88" s="38"/>
      <c r="H88" s="38"/>
      <c r="I88" s="38"/>
      <c r="J88" s="38"/>
      <c r="K88" s="38"/>
      <c r="L88" s="30"/>
      <c r="M88" s="30"/>
      <c r="N88" s="34"/>
      <c r="O88" s="34"/>
      <c r="P88" s="34"/>
      <c r="Q88" s="34"/>
      <c r="R88" s="30"/>
      <c r="S88" s="30"/>
      <c r="T88" s="30"/>
      <c r="U88" s="32"/>
      <c r="V88" s="32"/>
      <c r="W88" s="32"/>
      <c r="X88" s="33" t="str">
        <f aca="false">IF($A88="","",SUM($U88:$W88))</f>
        <v/>
      </c>
    </row>
    <row r="89" customFormat="false" ht="30" hidden="false" customHeight="true" outlineLevel="0" collapsed="false">
      <c r="A89" s="30"/>
      <c r="B89" s="37" t="str">
        <f aca="false">IF($A89="","",IFERROR(INDEX('Fragrance Projects'!$C$5:$C$64,MATCH($A89,'Fragrance Projects'!$A$5:$A$64,0)),""))</f>
        <v/>
      </c>
      <c r="C89" s="37" t="str">
        <f aca="false">IF($A89="","",IFERROR(INDEX('Fragrance Projects'!$D$5:$D$64,MATCH($A89,'Fragrance Projects'!$A$5:$A$64,0)),""))</f>
        <v/>
      </c>
      <c r="D89" s="30"/>
      <c r="E89" s="30"/>
      <c r="F89" s="38"/>
      <c r="G89" s="38"/>
      <c r="H89" s="38"/>
      <c r="I89" s="38"/>
      <c r="J89" s="38"/>
      <c r="K89" s="38"/>
      <c r="L89" s="30"/>
      <c r="M89" s="30"/>
      <c r="N89" s="34"/>
      <c r="O89" s="34"/>
      <c r="P89" s="34"/>
      <c r="Q89" s="34"/>
      <c r="R89" s="30"/>
      <c r="S89" s="30"/>
      <c r="T89" s="30"/>
      <c r="U89" s="32"/>
      <c r="V89" s="32"/>
      <c r="W89" s="32"/>
      <c r="X89" s="33" t="str">
        <f aca="false">IF($A89="","",SUM($U89:$W89))</f>
        <v/>
      </c>
    </row>
    <row r="90" customFormat="false" ht="30" hidden="false" customHeight="true" outlineLevel="0" collapsed="false">
      <c r="A90" s="30"/>
      <c r="B90" s="37" t="str">
        <f aca="false">IF($A90="","",IFERROR(INDEX('Fragrance Projects'!$C$5:$C$64,MATCH($A90,'Fragrance Projects'!$A$5:$A$64,0)),""))</f>
        <v/>
      </c>
      <c r="C90" s="37" t="str">
        <f aca="false">IF($A90="","",IFERROR(INDEX('Fragrance Projects'!$D$5:$D$64,MATCH($A90,'Fragrance Projects'!$A$5:$A$64,0)),""))</f>
        <v/>
      </c>
      <c r="D90" s="30"/>
      <c r="E90" s="30"/>
      <c r="F90" s="38"/>
      <c r="G90" s="38"/>
      <c r="H90" s="38"/>
      <c r="I90" s="38"/>
      <c r="J90" s="38"/>
      <c r="K90" s="38"/>
      <c r="L90" s="30"/>
      <c r="M90" s="30"/>
      <c r="N90" s="34"/>
      <c r="O90" s="34"/>
      <c r="P90" s="34"/>
      <c r="Q90" s="34"/>
      <c r="R90" s="30"/>
      <c r="S90" s="30"/>
      <c r="T90" s="30"/>
      <c r="U90" s="32"/>
      <c r="V90" s="32"/>
      <c r="W90" s="32"/>
      <c r="X90" s="33" t="str">
        <f aca="false">IF($A90="","",SUM($U90:$W90))</f>
        <v/>
      </c>
    </row>
    <row r="91" customFormat="false" ht="30" hidden="false" customHeight="true" outlineLevel="0" collapsed="false">
      <c r="A91" s="30"/>
      <c r="B91" s="37" t="str">
        <f aca="false">IF($A91="","",IFERROR(INDEX('Fragrance Projects'!$C$5:$C$64,MATCH($A91,'Fragrance Projects'!$A$5:$A$64,0)),""))</f>
        <v/>
      </c>
      <c r="C91" s="37" t="str">
        <f aca="false">IF($A91="","",IFERROR(INDEX('Fragrance Projects'!$D$5:$D$64,MATCH($A91,'Fragrance Projects'!$A$5:$A$64,0)),""))</f>
        <v/>
      </c>
      <c r="D91" s="30"/>
      <c r="E91" s="30"/>
      <c r="F91" s="38"/>
      <c r="G91" s="38"/>
      <c r="H91" s="38"/>
      <c r="I91" s="38"/>
      <c r="J91" s="38"/>
      <c r="K91" s="38"/>
      <c r="L91" s="30"/>
      <c r="M91" s="30"/>
      <c r="N91" s="34"/>
      <c r="O91" s="34"/>
      <c r="P91" s="34"/>
      <c r="Q91" s="34"/>
      <c r="R91" s="30"/>
      <c r="S91" s="30"/>
      <c r="T91" s="30"/>
      <c r="U91" s="32"/>
      <c r="V91" s="32"/>
      <c r="W91" s="32"/>
      <c r="X91" s="33" t="str">
        <f aca="false">IF($A91="","",SUM($U91:$W91))</f>
        <v/>
      </c>
    </row>
    <row r="92" customFormat="false" ht="30" hidden="false" customHeight="true" outlineLevel="0" collapsed="false">
      <c r="A92" s="30"/>
      <c r="B92" s="37" t="str">
        <f aca="false">IF($A92="","",IFERROR(INDEX('Fragrance Projects'!$C$5:$C$64,MATCH($A92,'Fragrance Projects'!$A$5:$A$64,0)),""))</f>
        <v/>
      </c>
      <c r="C92" s="37" t="str">
        <f aca="false">IF($A92="","",IFERROR(INDEX('Fragrance Projects'!$D$5:$D$64,MATCH($A92,'Fragrance Projects'!$A$5:$A$64,0)),""))</f>
        <v/>
      </c>
      <c r="D92" s="30"/>
      <c r="E92" s="30"/>
      <c r="F92" s="38"/>
      <c r="G92" s="38"/>
      <c r="H92" s="38"/>
      <c r="I92" s="38"/>
      <c r="J92" s="38"/>
      <c r="K92" s="38"/>
      <c r="L92" s="30"/>
      <c r="M92" s="30"/>
      <c r="N92" s="34"/>
      <c r="O92" s="34"/>
      <c r="P92" s="34"/>
      <c r="Q92" s="34"/>
      <c r="R92" s="30"/>
      <c r="S92" s="30"/>
      <c r="T92" s="30"/>
      <c r="U92" s="32"/>
      <c r="V92" s="32"/>
      <c r="W92" s="32"/>
      <c r="X92" s="33" t="str">
        <f aca="false">IF($A92="","",SUM($U92:$W92))</f>
        <v/>
      </c>
    </row>
    <row r="93" customFormat="false" ht="30" hidden="false" customHeight="true" outlineLevel="0" collapsed="false">
      <c r="A93" s="30"/>
      <c r="B93" s="37" t="str">
        <f aca="false">IF($A93="","",IFERROR(INDEX('Fragrance Projects'!$C$5:$C$64,MATCH($A93,'Fragrance Projects'!$A$5:$A$64,0)),""))</f>
        <v/>
      </c>
      <c r="C93" s="37" t="str">
        <f aca="false">IF($A93="","",IFERROR(INDEX('Fragrance Projects'!$D$5:$D$64,MATCH($A93,'Fragrance Projects'!$A$5:$A$64,0)),""))</f>
        <v/>
      </c>
      <c r="D93" s="30"/>
      <c r="E93" s="30"/>
      <c r="F93" s="38"/>
      <c r="G93" s="38"/>
      <c r="H93" s="38"/>
      <c r="I93" s="38"/>
      <c r="J93" s="38"/>
      <c r="K93" s="38"/>
      <c r="L93" s="30"/>
      <c r="M93" s="30"/>
      <c r="N93" s="34"/>
      <c r="O93" s="34"/>
      <c r="P93" s="34"/>
      <c r="Q93" s="34"/>
      <c r="R93" s="30"/>
      <c r="S93" s="30"/>
      <c r="T93" s="30"/>
      <c r="U93" s="32"/>
      <c r="V93" s="32"/>
      <c r="W93" s="32"/>
      <c r="X93" s="33" t="str">
        <f aca="false">IF($A93="","",SUM($U93:$W93))</f>
        <v/>
      </c>
    </row>
    <row r="94" customFormat="false" ht="30" hidden="false" customHeight="true" outlineLevel="0" collapsed="false">
      <c r="A94" s="30"/>
      <c r="B94" s="37" t="str">
        <f aca="false">IF($A94="","",IFERROR(INDEX('Fragrance Projects'!$C$5:$C$64,MATCH($A94,'Fragrance Projects'!$A$5:$A$64,0)),""))</f>
        <v/>
      </c>
      <c r="C94" s="37" t="str">
        <f aca="false">IF($A94="","",IFERROR(INDEX('Fragrance Projects'!$D$5:$D$64,MATCH($A94,'Fragrance Projects'!$A$5:$A$64,0)),""))</f>
        <v/>
      </c>
      <c r="D94" s="30"/>
      <c r="E94" s="30"/>
      <c r="F94" s="38"/>
      <c r="G94" s="38"/>
      <c r="H94" s="38"/>
      <c r="I94" s="38"/>
      <c r="J94" s="38"/>
      <c r="K94" s="38"/>
      <c r="L94" s="30"/>
      <c r="M94" s="30"/>
      <c r="N94" s="34"/>
      <c r="O94" s="34"/>
      <c r="P94" s="34"/>
      <c r="Q94" s="34"/>
      <c r="R94" s="30"/>
      <c r="S94" s="30"/>
      <c r="T94" s="30"/>
      <c r="U94" s="32"/>
      <c r="V94" s="32"/>
      <c r="W94" s="32"/>
      <c r="X94" s="33" t="str">
        <f aca="false">IF($A94="","",SUM($U94:$W94))</f>
        <v/>
      </c>
    </row>
    <row r="95" customFormat="false" ht="30" hidden="false" customHeight="true" outlineLevel="0" collapsed="false">
      <c r="A95" s="30"/>
      <c r="B95" s="37" t="str">
        <f aca="false">IF($A95="","",IFERROR(INDEX('Fragrance Projects'!$C$5:$C$64,MATCH($A95,'Fragrance Projects'!$A$5:$A$64,0)),""))</f>
        <v/>
      </c>
      <c r="C95" s="37" t="str">
        <f aca="false">IF($A95="","",IFERROR(INDEX('Fragrance Projects'!$D$5:$D$64,MATCH($A95,'Fragrance Projects'!$A$5:$A$64,0)),""))</f>
        <v/>
      </c>
      <c r="D95" s="30"/>
      <c r="E95" s="30"/>
      <c r="F95" s="38"/>
      <c r="G95" s="38"/>
      <c r="H95" s="38"/>
      <c r="I95" s="38"/>
      <c r="J95" s="38"/>
      <c r="K95" s="38"/>
      <c r="L95" s="30"/>
      <c r="M95" s="30"/>
      <c r="N95" s="34"/>
      <c r="O95" s="34"/>
      <c r="P95" s="34"/>
      <c r="Q95" s="34"/>
      <c r="R95" s="30"/>
      <c r="S95" s="30"/>
      <c r="T95" s="30"/>
      <c r="U95" s="32"/>
      <c r="V95" s="32"/>
      <c r="W95" s="32"/>
      <c r="X95" s="33" t="str">
        <f aca="false">IF($A95="","",SUM($U95:$W95))</f>
        <v/>
      </c>
    </row>
    <row r="96" customFormat="false" ht="30" hidden="false" customHeight="true" outlineLevel="0" collapsed="false">
      <c r="A96" s="30"/>
      <c r="B96" s="37" t="str">
        <f aca="false">IF($A96="","",IFERROR(INDEX('Fragrance Projects'!$C$5:$C$64,MATCH($A96,'Fragrance Projects'!$A$5:$A$64,0)),""))</f>
        <v/>
      </c>
      <c r="C96" s="37" t="str">
        <f aca="false">IF($A96="","",IFERROR(INDEX('Fragrance Projects'!$D$5:$D$64,MATCH($A96,'Fragrance Projects'!$A$5:$A$64,0)),""))</f>
        <v/>
      </c>
      <c r="D96" s="30"/>
      <c r="E96" s="30"/>
      <c r="F96" s="38"/>
      <c r="G96" s="38"/>
      <c r="H96" s="38"/>
      <c r="I96" s="38"/>
      <c r="J96" s="38"/>
      <c r="K96" s="38"/>
      <c r="L96" s="30"/>
      <c r="M96" s="30"/>
      <c r="N96" s="34"/>
      <c r="O96" s="34"/>
      <c r="P96" s="34"/>
      <c r="Q96" s="34"/>
      <c r="R96" s="30"/>
      <c r="S96" s="30"/>
      <c r="T96" s="30"/>
      <c r="U96" s="32"/>
      <c r="V96" s="32"/>
      <c r="W96" s="32"/>
      <c r="X96" s="33" t="str">
        <f aca="false">IF($A96="","",SUM($U96:$W96))</f>
        <v/>
      </c>
    </row>
    <row r="97" customFormat="false" ht="30" hidden="false" customHeight="true" outlineLevel="0" collapsed="false">
      <c r="A97" s="30"/>
      <c r="B97" s="37" t="str">
        <f aca="false">IF($A97="","",IFERROR(INDEX('Fragrance Projects'!$C$5:$C$64,MATCH($A97,'Fragrance Projects'!$A$5:$A$64,0)),""))</f>
        <v/>
      </c>
      <c r="C97" s="37" t="str">
        <f aca="false">IF($A97="","",IFERROR(INDEX('Fragrance Projects'!$D$5:$D$64,MATCH($A97,'Fragrance Projects'!$A$5:$A$64,0)),""))</f>
        <v/>
      </c>
      <c r="D97" s="30"/>
      <c r="E97" s="30"/>
      <c r="F97" s="38"/>
      <c r="G97" s="38"/>
      <c r="H97" s="38"/>
      <c r="I97" s="38"/>
      <c r="J97" s="38"/>
      <c r="K97" s="38"/>
      <c r="L97" s="30"/>
      <c r="M97" s="30"/>
      <c r="N97" s="34"/>
      <c r="O97" s="34"/>
      <c r="P97" s="34"/>
      <c r="Q97" s="34"/>
      <c r="R97" s="30"/>
      <c r="S97" s="30"/>
      <c r="T97" s="30"/>
      <c r="U97" s="32"/>
      <c r="V97" s="32"/>
      <c r="W97" s="32"/>
      <c r="X97" s="33" t="str">
        <f aca="false">IF($A97="","",SUM($U97:$W97))</f>
        <v/>
      </c>
    </row>
    <row r="98" customFormat="false" ht="30" hidden="false" customHeight="true" outlineLevel="0" collapsed="false">
      <c r="A98" s="30"/>
      <c r="B98" s="37" t="str">
        <f aca="false">IF($A98="","",IFERROR(INDEX('Fragrance Projects'!$C$5:$C$64,MATCH($A98,'Fragrance Projects'!$A$5:$A$64,0)),""))</f>
        <v/>
      </c>
      <c r="C98" s="37" t="str">
        <f aca="false">IF($A98="","",IFERROR(INDEX('Fragrance Projects'!$D$5:$D$64,MATCH($A98,'Fragrance Projects'!$A$5:$A$64,0)),""))</f>
        <v/>
      </c>
      <c r="D98" s="30"/>
      <c r="E98" s="30"/>
      <c r="F98" s="38"/>
      <c r="G98" s="38"/>
      <c r="H98" s="38"/>
      <c r="I98" s="38"/>
      <c r="J98" s="38"/>
      <c r="K98" s="38"/>
      <c r="L98" s="30"/>
      <c r="M98" s="30"/>
      <c r="N98" s="34"/>
      <c r="O98" s="34"/>
      <c r="P98" s="34"/>
      <c r="Q98" s="34"/>
      <c r="R98" s="30"/>
      <c r="S98" s="30"/>
      <c r="T98" s="30"/>
      <c r="U98" s="32"/>
      <c r="V98" s="32"/>
      <c r="W98" s="32"/>
      <c r="X98" s="33" t="str">
        <f aca="false">IF($A98="","",SUM($U98:$W98))</f>
        <v/>
      </c>
    </row>
    <row r="99" customFormat="false" ht="30" hidden="false" customHeight="true" outlineLevel="0" collapsed="false">
      <c r="A99" s="30"/>
      <c r="B99" s="37" t="str">
        <f aca="false">IF($A99="","",IFERROR(INDEX('Fragrance Projects'!$C$5:$C$64,MATCH($A99,'Fragrance Projects'!$A$5:$A$64,0)),""))</f>
        <v/>
      </c>
      <c r="C99" s="37" t="str">
        <f aca="false">IF($A99="","",IFERROR(INDEX('Fragrance Projects'!$D$5:$D$64,MATCH($A99,'Fragrance Projects'!$A$5:$A$64,0)),""))</f>
        <v/>
      </c>
      <c r="D99" s="30"/>
      <c r="E99" s="30"/>
      <c r="F99" s="38"/>
      <c r="G99" s="38"/>
      <c r="H99" s="38"/>
      <c r="I99" s="38"/>
      <c r="J99" s="38"/>
      <c r="K99" s="38"/>
      <c r="L99" s="30"/>
      <c r="M99" s="30"/>
      <c r="N99" s="34"/>
      <c r="O99" s="34"/>
      <c r="P99" s="34"/>
      <c r="Q99" s="34"/>
      <c r="R99" s="30"/>
      <c r="S99" s="30"/>
      <c r="T99" s="30"/>
      <c r="U99" s="32"/>
      <c r="V99" s="32"/>
      <c r="W99" s="32"/>
      <c r="X99" s="33" t="str">
        <f aca="false">IF($A99="","",SUM($U99:$W99))</f>
        <v/>
      </c>
    </row>
    <row r="100" customFormat="false" ht="30" hidden="false" customHeight="true" outlineLevel="0" collapsed="false">
      <c r="A100" s="30"/>
      <c r="B100" s="37" t="str">
        <f aca="false">IF($A100="","",IFERROR(INDEX('Fragrance Projects'!$C$5:$C$64,MATCH($A100,'Fragrance Projects'!$A$5:$A$64,0)),""))</f>
        <v/>
      </c>
      <c r="C100" s="37" t="str">
        <f aca="false">IF($A100="","",IFERROR(INDEX('Fragrance Projects'!$D$5:$D$64,MATCH($A100,'Fragrance Projects'!$A$5:$A$64,0)),""))</f>
        <v/>
      </c>
      <c r="D100" s="30"/>
      <c r="E100" s="30"/>
      <c r="F100" s="38"/>
      <c r="G100" s="38"/>
      <c r="H100" s="38"/>
      <c r="I100" s="38"/>
      <c r="J100" s="38"/>
      <c r="K100" s="38"/>
      <c r="L100" s="30"/>
      <c r="M100" s="30"/>
      <c r="N100" s="34"/>
      <c r="O100" s="34"/>
      <c r="P100" s="34"/>
      <c r="Q100" s="34"/>
      <c r="R100" s="30"/>
      <c r="S100" s="30"/>
      <c r="T100" s="30"/>
      <c r="U100" s="32"/>
      <c r="V100" s="32"/>
      <c r="W100" s="32"/>
      <c r="X100" s="33" t="str">
        <f aca="false">IF($A100="","",SUM($U100:$W100))</f>
        <v/>
      </c>
    </row>
    <row r="101" customFormat="false" ht="30" hidden="false" customHeight="true" outlineLevel="0" collapsed="false">
      <c r="A101" s="30"/>
      <c r="B101" s="37" t="str">
        <f aca="false">IF($A101="","",IFERROR(INDEX('Fragrance Projects'!$C$5:$C$64,MATCH($A101,'Fragrance Projects'!$A$5:$A$64,0)),""))</f>
        <v/>
      </c>
      <c r="C101" s="37" t="str">
        <f aca="false">IF($A101="","",IFERROR(INDEX('Fragrance Projects'!$D$5:$D$64,MATCH($A101,'Fragrance Projects'!$A$5:$A$64,0)),""))</f>
        <v/>
      </c>
      <c r="D101" s="30"/>
      <c r="E101" s="30"/>
      <c r="F101" s="38"/>
      <c r="G101" s="38"/>
      <c r="H101" s="38"/>
      <c r="I101" s="38"/>
      <c r="J101" s="38"/>
      <c r="K101" s="38"/>
      <c r="L101" s="30"/>
      <c r="M101" s="30"/>
      <c r="N101" s="34"/>
      <c r="O101" s="34"/>
      <c r="P101" s="34"/>
      <c r="Q101" s="34"/>
      <c r="R101" s="30"/>
      <c r="S101" s="30"/>
      <c r="T101" s="30"/>
      <c r="U101" s="32"/>
      <c r="V101" s="32"/>
      <c r="W101" s="32"/>
      <c r="X101" s="33" t="str">
        <f aca="false">IF($A101="","",SUM($U101:$W101))</f>
        <v/>
      </c>
    </row>
    <row r="102" customFormat="false" ht="30" hidden="false" customHeight="true" outlineLevel="0" collapsed="false">
      <c r="A102" s="30"/>
      <c r="B102" s="37" t="str">
        <f aca="false">IF($A102="","",IFERROR(INDEX('Fragrance Projects'!$C$5:$C$64,MATCH($A102,'Fragrance Projects'!$A$5:$A$64,0)),""))</f>
        <v/>
      </c>
      <c r="C102" s="37" t="str">
        <f aca="false">IF($A102="","",IFERROR(INDEX('Fragrance Projects'!$D$5:$D$64,MATCH($A102,'Fragrance Projects'!$A$5:$A$64,0)),""))</f>
        <v/>
      </c>
      <c r="D102" s="30"/>
      <c r="E102" s="30"/>
      <c r="F102" s="38"/>
      <c r="G102" s="38"/>
      <c r="H102" s="38"/>
      <c r="I102" s="38"/>
      <c r="J102" s="38"/>
      <c r="K102" s="38"/>
      <c r="L102" s="30"/>
      <c r="M102" s="30"/>
      <c r="N102" s="34"/>
      <c r="O102" s="34"/>
      <c r="P102" s="34"/>
      <c r="Q102" s="34"/>
      <c r="R102" s="30"/>
      <c r="S102" s="30"/>
      <c r="T102" s="30"/>
      <c r="U102" s="32"/>
      <c r="V102" s="32"/>
      <c r="W102" s="32"/>
      <c r="X102" s="33" t="str">
        <f aca="false">IF($A102="","",SUM($U102:$W102))</f>
        <v/>
      </c>
    </row>
    <row r="103" customFormat="false" ht="30" hidden="false" customHeight="true" outlineLevel="0" collapsed="false">
      <c r="A103" s="30"/>
      <c r="B103" s="37" t="str">
        <f aca="false">IF($A103="","",IFERROR(INDEX('Fragrance Projects'!$C$5:$C$64,MATCH($A103,'Fragrance Projects'!$A$5:$A$64,0)),""))</f>
        <v/>
      </c>
      <c r="C103" s="37" t="str">
        <f aca="false">IF($A103="","",IFERROR(INDEX('Fragrance Projects'!$D$5:$D$64,MATCH($A103,'Fragrance Projects'!$A$5:$A$64,0)),""))</f>
        <v/>
      </c>
      <c r="D103" s="30"/>
      <c r="E103" s="30"/>
      <c r="F103" s="38"/>
      <c r="G103" s="38"/>
      <c r="H103" s="38"/>
      <c r="I103" s="38"/>
      <c r="J103" s="38"/>
      <c r="K103" s="38"/>
      <c r="L103" s="30"/>
      <c r="M103" s="30"/>
      <c r="N103" s="34"/>
      <c r="O103" s="34"/>
      <c r="P103" s="34"/>
      <c r="Q103" s="34"/>
      <c r="R103" s="30"/>
      <c r="S103" s="30"/>
      <c r="T103" s="30"/>
      <c r="U103" s="32"/>
      <c r="V103" s="32"/>
      <c r="W103" s="32"/>
      <c r="X103" s="33" t="str">
        <f aca="false">IF($A103="","",SUM($U103:$W103))</f>
        <v/>
      </c>
    </row>
    <row r="104" customFormat="false" ht="30" hidden="false" customHeight="true" outlineLevel="0" collapsed="false">
      <c r="A104" s="30"/>
      <c r="B104" s="37" t="str">
        <f aca="false">IF($A104="","",IFERROR(INDEX('Fragrance Projects'!$C$5:$C$64,MATCH($A104,'Fragrance Projects'!$A$5:$A$64,0)),""))</f>
        <v/>
      </c>
      <c r="C104" s="37" t="str">
        <f aca="false">IF($A104="","",IFERROR(INDEX('Fragrance Projects'!$D$5:$D$64,MATCH($A104,'Fragrance Projects'!$A$5:$A$64,0)),""))</f>
        <v/>
      </c>
      <c r="D104" s="30"/>
      <c r="E104" s="30"/>
      <c r="F104" s="38"/>
      <c r="G104" s="38"/>
      <c r="H104" s="38"/>
      <c r="I104" s="38"/>
      <c r="J104" s="38"/>
      <c r="K104" s="38"/>
      <c r="L104" s="30"/>
      <c r="M104" s="30"/>
      <c r="N104" s="34"/>
      <c r="O104" s="34"/>
      <c r="P104" s="34"/>
      <c r="Q104" s="34"/>
      <c r="R104" s="30"/>
      <c r="S104" s="30"/>
      <c r="T104" s="30"/>
      <c r="U104" s="32"/>
      <c r="V104" s="32"/>
      <c r="W104" s="32"/>
      <c r="X104" s="33" t="str">
        <f aca="false">IF($A104="","",SUM($U104:$W104))</f>
        <v/>
      </c>
    </row>
    <row r="105" customFormat="false" ht="30" hidden="false" customHeight="true" outlineLevel="0" collapsed="false">
      <c r="A105" s="30"/>
      <c r="B105" s="37" t="str">
        <f aca="false">IF($A105="","",IFERROR(INDEX('Fragrance Projects'!$C$5:$C$64,MATCH($A105,'Fragrance Projects'!$A$5:$A$64,0)),""))</f>
        <v/>
      </c>
      <c r="C105" s="37" t="str">
        <f aca="false">IF($A105="","",IFERROR(INDEX('Fragrance Projects'!$D$5:$D$64,MATCH($A105,'Fragrance Projects'!$A$5:$A$64,0)),""))</f>
        <v/>
      </c>
      <c r="D105" s="30"/>
      <c r="E105" s="30"/>
      <c r="F105" s="38"/>
      <c r="G105" s="38"/>
      <c r="H105" s="38"/>
      <c r="I105" s="38"/>
      <c r="J105" s="38"/>
      <c r="K105" s="38"/>
      <c r="L105" s="30"/>
      <c r="M105" s="30"/>
      <c r="N105" s="34"/>
      <c r="O105" s="34"/>
      <c r="P105" s="34"/>
      <c r="Q105" s="34"/>
      <c r="R105" s="30"/>
      <c r="S105" s="30"/>
      <c r="T105" s="30"/>
      <c r="U105" s="32"/>
      <c r="V105" s="32"/>
      <c r="W105" s="32"/>
      <c r="X105" s="33" t="str">
        <f aca="false">IF($A105="","",SUM($U105:$W105))</f>
        <v/>
      </c>
    </row>
    <row r="106" customFormat="false" ht="30" hidden="false" customHeight="true" outlineLevel="0" collapsed="false">
      <c r="A106" s="30"/>
      <c r="B106" s="37" t="str">
        <f aca="false">IF($A106="","",IFERROR(INDEX('Fragrance Projects'!$C$5:$C$64,MATCH($A106,'Fragrance Projects'!$A$5:$A$64,0)),""))</f>
        <v/>
      </c>
      <c r="C106" s="37" t="str">
        <f aca="false">IF($A106="","",IFERROR(INDEX('Fragrance Projects'!$D$5:$D$64,MATCH($A106,'Fragrance Projects'!$A$5:$A$64,0)),""))</f>
        <v/>
      </c>
      <c r="D106" s="30"/>
      <c r="E106" s="30"/>
      <c r="F106" s="38"/>
      <c r="G106" s="38"/>
      <c r="H106" s="38"/>
      <c r="I106" s="38"/>
      <c r="J106" s="38"/>
      <c r="K106" s="38"/>
      <c r="L106" s="30"/>
      <c r="M106" s="30"/>
      <c r="N106" s="34"/>
      <c r="O106" s="34"/>
      <c r="P106" s="34"/>
      <c r="Q106" s="34"/>
      <c r="R106" s="30"/>
      <c r="S106" s="30"/>
      <c r="T106" s="30"/>
      <c r="U106" s="32"/>
      <c r="V106" s="32"/>
      <c r="W106" s="32"/>
      <c r="X106" s="33" t="str">
        <f aca="false">IF($A106="","",SUM($U106:$W106))</f>
        <v/>
      </c>
    </row>
    <row r="107" customFormat="false" ht="30" hidden="false" customHeight="true" outlineLevel="0" collapsed="false">
      <c r="A107" s="30"/>
      <c r="B107" s="37" t="str">
        <f aca="false">IF($A107="","",IFERROR(INDEX('Fragrance Projects'!$C$5:$C$64,MATCH($A107,'Fragrance Projects'!$A$5:$A$64,0)),""))</f>
        <v/>
      </c>
      <c r="C107" s="37" t="str">
        <f aca="false">IF($A107="","",IFERROR(INDEX('Fragrance Projects'!$D$5:$D$64,MATCH($A107,'Fragrance Projects'!$A$5:$A$64,0)),""))</f>
        <v/>
      </c>
      <c r="D107" s="30"/>
      <c r="E107" s="30"/>
      <c r="F107" s="38"/>
      <c r="G107" s="38"/>
      <c r="H107" s="38"/>
      <c r="I107" s="38"/>
      <c r="J107" s="38"/>
      <c r="K107" s="38"/>
      <c r="L107" s="30"/>
      <c r="M107" s="30"/>
      <c r="N107" s="34"/>
      <c r="O107" s="34"/>
      <c r="P107" s="34"/>
      <c r="Q107" s="34"/>
      <c r="R107" s="30"/>
      <c r="S107" s="30"/>
      <c r="T107" s="30"/>
      <c r="U107" s="32"/>
      <c r="V107" s="32"/>
      <c r="W107" s="32"/>
      <c r="X107" s="33" t="str">
        <f aca="false">IF($A107="","",SUM($U107:$W107))</f>
        <v/>
      </c>
    </row>
    <row r="108" customFormat="false" ht="30" hidden="false" customHeight="true" outlineLevel="0" collapsed="false">
      <c r="A108" s="30"/>
      <c r="B108" s="37" t="str">
        <f aca="false">IF($A108="","",IFERROR(INDEX('Fragrance Projects'!$C$5:$C$64,MATCH($A108,'Fragrance Projects'!$A$5:$A$64,0)),""))</f>
        <v/>
      </c>
      <c r="C108" s="37" t="str">
        <f aca="false">IF($A108="","",IFERROR(INDEX('Fragrance Projects'!$D$5:$D$64,MATCH($A108,'Fragrance Projects'!$A$5:$A$64,0)),""))</f>
        <v/>
      </c>
      <c r="D108" s="30"/>
      <c r="E108" s="30"/>
      <c r="F108" s="38"/>
      <c r="G108" s="38"/>
      <c r="H108" s="38"/>
      <c r="I108" s="38"/>
      <c r="J108" s="38"/>
      <c r="K108" s="38"/>
      <c r="L108" s="30"/>
      <c r="M108" s="30"/>
      <c r="N108" s="34"/>
      <c r="O108" s="34"/>
      <c r="P108" s="34"/>
      <c r="Q108" s="34"/>
      <c r="R108" s="30"/>
      <c r="S108" s="30"/>
      <c r="T108" s="30"/>
      <c r="U108" s="32"/>
      <c r="V108" s="32"/>
      <c r="W108" s="32"/>
      <c r="X108" s="33" t="str">
        <f aca="false">IF($A108="","",SUM($U108:$W108))</f>
        <v/>
      </c>
    </row>
    <row r="109" customFormat="false" ht="30" hidden="false" customHeight="true" outlineLevel="0" collapsed="false">
      <c r="A109" s="30"/>
      <c r="B109" s="37" t="str">
        <f aca="false">IF($A109="","",IFERROR(INDEX('Fragrance Projects'!$C$5:$C$64,MATCH($A109,'Fragrance Projects'!$A$5:$A$64,0)),""))</f>
        <v/>
      </c>
      <c r="C109" s="37" t="str">
        <f aca="false">IF($A109="","",IFERROR(INDEX('Fragrance Projects'!$D$5:$D$64,MATCH($A109,'Fragrance Projects'!$A$5:$A$64,0)),""))</f>
        <v/>
      </c>
      <c r="D109" s="30"/>
      <c r="E109" s="30"/>
      <c r="F109" s="38"/>
      <c r="G109" s="38"/>
      <c r="H109" s="38"/>
      <c r="I109" s="38"/>
      <c r="J109" s="38"/>
      <c r="K109" s="38"/>
      <c r="L109" s="30"/>
      <c r="M109" s="30"/>
      <c r="N109" s="34"/>
      <c r="O109" s="34"/>
      <c r="P109" s="34"/>
      <c r="Q109" s="34"/>
      <c r="R109" s="30"/>
      <c r="S109" s="30"/>
      <c r="T109" s="30"/>
      <c r="U109" s="32"/>
      <c r="V109" s="32"/>
      <c r="W109" s="32"/>
      <c r="X109" s="33" t="str">
        <f aca="false">IF($A109="","",SUM($U109:$W109))</f>
        <v/>
      </c>
    </row>
    <row r="110" customFormat="false" ht="30" hidden="false" customHeight="true" outlineLevel="0" collapsed="false">
      <c r="A110" s="30"/>
      <c r="B110" s="37" t="str">
        <f aca="false">IF($A110="","",IFERROR(INDEX('Fragrance Projects'!$C$5:$C$64,MATCH($A110,'Fragrance Projects'!$A$5:$A$64,0)),""))</f>
        <v/>
      </c>
      <c r="C110" s="37" t="str">
        <f aca="false">IF($A110="","",IFERROR(INDEX('Fragrance Projects'!$D$5:$D$64,MATCH($A110,'Fragrance Projects'!$A$5:$A$64,0)),""))</f>
        <v/>
      </c>
      <c r="D110" s="30"/>
      <c r="E110" s="30"/>
      <c r="F110" s="38"/>
      <c r="G110" s="38"/>
      <c r="H110" s="38"/>
      <c r="I110" s="38"/>
      <c r="J110" s="38"/>
      <c r="K110" s="38"/>
      <c r="L110" s="30"/>
      <c r="M110" s="30"/>
      <c r="N110" s="34"/>
      <c r="O110" s="34"/>
      <c r="P110" s="34"/>
      <c r="Q110" s="34"/>
      <c r="R110" s="30"/>
      <c r="S110" s="30"/>
      <c r="T110" s="30"/>
      <c r="U110" s="32"/>
      <c r="V110" s="32"/>
      <c r="W110" s="32"/>
      <c r="X110" s="33" t="str">
        <f aca="false">IF($A110="","",SUM($U110:$W110))</f>
        <v/>
      </c>
    </row>
    <row r="111" customFormat="false" ht="30" hidden="false" customHeight="true" outlineLevel="0" collapsed="false">
      <c r="A111" s="30"/>
      <c r="B111" s="37" t="str">
        <f aca="false">IF($A111="","",IFERROR(INDEX('Fragrance Projects'!$C$5:$C$64,MATCH($A111,'Fragrance Projects'!$A$5:$A$64,0)),""))</f>
        <v/>
      </c>
      <c r="C111" s="37" t="str">
        <f aca="false">IF($A111="","",IFERROR(INDEX('Fragrance Projects'!$D$5:$D$64,MATCH($A111,'Fragrance Projects'!$A$5:$A$64,0)),""))</f>
        <v/>
      </c>
      <c r="D111" s="30"/>
      <c r="E111" s="30"/>
      <c r="F111" s="38"/>
      <c r="G111" s="38"/>
      <c r="H111" s="38"/>
      <c r="I111" s="38"/>
      <c r="J111" s="38"/>
      <c r="K111" s="38"/>
      <c r="L111" s="30"/>
      <c r="M111" s="30"/>
      <c r="N111" s="34"/>
      <c r="O111" s="34"/>
      <c r="P111" s="34"/>
      <c r="Q111" s="34"/>
      <c r="R111" s="30"/>
      <c r="S111" s="30"/>
      <c r="T111" s="30"/>
      <c r="U111" s="32"/>
      <c r="V111" s="32"/>
      <c r="W111" s="32"/>
      <c r="X111" s="33" t="str">
        <f aca="false">IF($A111="","",SUM($U111:$W111))</f>
        <v/>
      </c>
    </row>
    <row r="112" customFormat="false" ht="30" hidden="false" customHeight="true" outlineLevel="0" collapsed="false">
      <c r="A112" s="30"/>
      <c r="B112" s="37" t="str">
        <f aca="false">IF($A112="","",IFERROR(INDEX('Fragrance Projects'!$C$5:$C$64,MATCH($A112,'Fragrance Projects'!$A$5:$A$64,0)),""))</f>
        <v/>
      </c>
      <c r="C112" s="37" t="str">
        <f aca="false">IF($A112="","",IFERROR(INDEX('Fragrance Projects'!$D$5:$D$64,MATCH($A112,'Fragrance Projects'!$A$5:$A$64,0)),""))</f>
        <v/>
      </c>
      <c r="D112" s="30"/>
      <c r="E112" s="30"/>
      <c r="F112" s="38"/>
      <c r="G112" s="38"/>
      <c r="H112" s="38"/>
      <c r="I112" s="38"/>
      <c r="J112" s="38"/>
      <c r="K112" s="38"/>
      <c r="L112" s="30"/>
      <c r="M112" s="30"/>
      <c r="N112" s="34"/>
      <c r="O112" s="34"/>
      <c r="P112" s="34"/>
      <c r="Q112" s="34"/>
      <c r="R112" s="30"/>
      <c r="S112" s="30"/>
      <c r="T112" s="30"/>
      <c r="U112" s="32"/>
      <c r="V112" s="32"/>
      <c r="W112" s="32"/>
      <c r="X112" s="33" t="str">
        <f aca="false">IF($A112="","",SUM($U112:$W112))</f>
        <v/>
      </c>
    </row>
    <row r="113" customFormat="false" ht="30" hidden="false" customHeight="true" outlineLevel="0" collapsed="false">
      <c r="A113" s="30"/>
      <c r="B113" s="37" t="str">
        <f aca="false">IF($A113="","",IFERROR(INDEX('Fragrance Projects'!$C$5:$C$64,MATCH($A113,'Fragrance Projects'!$A$5:$A$64,0)),""))</f>
        <v/>
      </c>
      <c r="C113" s="37" t="str">
        <f aca="false">IF($A113="","",IFERROR(INDEX('Fragrance Projects'!$D$5:$D$64,MATCH($A113,'Fragrance Projects'!$A$5:$A$64,0)),""))</f>
        <v/>
      </c>
      <c r="D113" s="30"/>
      <c r="E113" s="30"/>
      <c r="F113" s="38"/>
      <c r="G113" s="38"/>
      <c r="H113" s="38"/>
      <c r="I113" s="38"/>
      <c r="J113" s="38"/>
      <c r="K113" s="38"/>
      <c r="L113" s="30"/>
      <c r="M113" s="30"/>
      <c r="N113" s="34"/>
      <c r="O113" s="34"/>
      <c r="P113" s="34"/>
      <c r="Q113" s="34"/>
      <c r="R113" s="30"/>
      <c r="S113" s="30"/>
      <c r="T113" s="30"/>
      <c r="U113" s="32"/>
      <c r="V113" s="32"/>
      <c r="W113" s="32"/>
      <c r="X113" s="33" t="str">
        <f aca="false">IF($A113="","",SUM($U113:$W113))</f>
        <v/>
      </c>
    </row>
    <row r="114" customFormat="false" ht="30" hidden="false" customHeight="true" outlineLevel="0" collapsed="false">
      <c r="A114" s="30"/>
      <c r="B114" s="37" t="str">
        <f aca="false">IF($A114="","",IFERROR(INDEX('Fragrance Projects'!$C$5:$C$64,MATCH($A114,'Fragrance Projects'!$A$5:$A$64,0)),""))</f>
        <v/>
      </c>
      <c r="C114" s="37" t="str">
        <f aca="false">IF($A114="","",IFERROR(INDEX('Fragrance Projects'!$D$5:$D$64,MATCH($A114,'Fragrance Projects'!$A$5:$A$64,0)),""))</f>
        <v/>
      </c>
      <c r="D114" s="30"/>
      <c r="E114" s="30"/>
      <c r="F114" s="38"/>
      <c r="G114" s="38"/>
      <c r="H114" s="38"/>
      <c r="I114" s="38"/>
      <c r="J114" s="38"/>
      <c r="K114" s="38"/>
      <c r="L114" s="30"/>
      <c r="M114" s="30"/>
      <c r="N114" s="34"/>
      <c r="O114" s="34"/>
      <c r="P114" s="34"/>
      <c r="Q114" s="34"/>
      <c r="R114" s="30"/>
      <c r="S114" s="30"/>
      <c r="T114" s="30"/>
      <c r="U114" s="32"/>
      <c r="V114" s="32"/>
      <c r="W114" s="32"/>
      <c r="X114" s="33" t="str">
        <f aca="false">IF($A114="","",SUM($U114:$W114))</f>
        <v/>
      </c>
    </row>
    <row r="115" customFormat="false" ht="30" hidden="false" customHeight="true" outlineLevel="0" collapsed="false">
      <c r="A115" s="30"/>
      <c r="B115" s="37" t="str">
        <f aca="false">IF($A115="","",IFERROR(INDEX('Fragrance Projects'!$C$5:$C$64,MATCH($A115,'Fragrance Projects'!$A$5:$A$64,0)),""))</f>
        <v/>
      </c>
      <c r="C115" s="37" t="str">
        <f aca="false">IF($A115="","",IFERROR(INDEX('Fragrance Projects'!$D$5:$D$64,MATCH($A115,'Fragrance Projects'!$A$5:$A$64,0)),""))</f>
        <v/>
      </c>
      <c r="D115" s="30"/>
      <c r="E115" s="30"/>
      <c r="F115" s="38"/>
      <c r="G115" s="38"/>
      <c r="H115" s="38"/>
      <c r="I115" s="38"/>
      <c r="J115" s="38"/>
      <c r="K115" s="38"/>
      <c r="L115" s="30"/>
      <c r="M115" s="30"/>
      <c r="N115" s="34"/>
      <c r="O115" s="34"/>
      <c r="P115" s="34"/>
      <c r="Q115" s="34"/>
      <c r="R115" s="30"/>
      <c r="S115" s="30"/>
      <c r="T115" s="30"/>
      <c r="U115" s="32"/>
      <c r="V115" s="32"/>
      <c r="W115" s="32"/>
      <c r="X115" s="33" t="str">
        <f aca="false">IF($A115="","",SUM($U115:$W115))</f>
        <v/>
      </c>
    </row>
    <row r="116" customFormat="false" ht="30" hidden="false" customHeight="true" outlineLevel="0" collapsed="false">
      <c r="A116" s="30"/>
      <c r="B116" s="37" t="str">
        <f aca="false">IF($A116="","",IFERROR(INDEX('Fragrance Projects'!$C$5:$C$64,MATCH($A116,'Fragrance Projects'!$A$5:$A$64,0)),""))</f>
        <v/>
      </c>
      <c r="C116" s="37" t="str">
        <f aca="false">IF($A116="","",IFERROR(INDEX('Fragrance Projects'!$D$5:$D$64,MATCH($A116,'Fragrance Projects'!$A$5:$A$64,0)),""))</f>
        <v/>
      </c>
      <c r="D116" s="30"/>
      <c r="E116" s="30"/>
      <c r="F116" s="38"/>
      <c r="G116" s="38"/>
      <c r="H116" s="38"/>
      <c r="I116" s="38"/>
      <c r="J116" s="38"/>
      <c r="K116" s="38"/>
      <c r="L116" s="30"/>
      <c r="M116" s="30"/>
      <c r="N116" s="34"/>
      <c r="O116" s="34"/>
      <c r="P116" s="34"/>
      <c r="Q116" s="34"/>
      <c r="R116" s="30"/>
      <c r="S116" s="30"/>
      <c r="T116" s="30"/>
      <c r="U116" s="32"/>
      <c r="V116" s="32"/>
      <c r="W116" s="32"/>
      <c r="X116" s="33" t="str">
        <f aca="false">IF($A116="","",SUM($U116:$W116))</f>
        <v/>
      </c>
    </row>
    <row r="117" customFormat="false" ht="30" hidden="false" customHeight="true" outlineLevel="0" collapsed="false">
      <c r="A117" s="30"/>
      <c r="B117" s="37" t="str">
        <f aca="false">IF($A117="","",IFERROR(INDEX('Fragrance Projects'!$C$5:$C$64,MATCH($A117,'Fragrance Projects'!$A$5:$A$64,0)),""))</f>
        <v/>
      </c>
      <c r="C117" s="37" t="str">
        <f aca="false">IF($A117="","",IFERROR(INDEX('Fragrance Projects'!$D$5:$D$64,MATCH($A117,'Fragrance Projects'!$A$5:$A$64,0)),""))</f>
        <v/>
      </c>
      <c r="D117" s="30"/>
      <c r="E117" s="30"/>
      <c r="F117" s="38"/>
      <c r="G117" s="38"/>
      <c r="H117" s="38"/>
      <c r="I117" s="38"/>
      <c r="J117" s="38"/>
      <c r="K117" s="38"/>
      <c r="L117" s="30"/>
      <c r="M117" s="30"/>
      <c r="N117" s="34"/>
      <c r="O117" s="34"/>
      <c r="P117" s="34"/>
      <c r="Q117" s="34"/>
      <c r="R117" s="30"/>
      <c r="S117" s="30"/>
      <c r="T117" s="30"/>
      <c r="U117" s="32"/>
      <c r="V117" s="32"/>
      <c r="W117" s="32"/>
      <c r="X117" s="33" t="str">
        <f aca="false">IF($A117="","",SUM($U117:$W117))</f>
        <v/>
      </c>
    </row>
    <row r="118" customFormat="false" ht="30" hidden="false" customHeight="true" outlineLevel="0" collapsed="false">
      <c r="A118" s="30"/>
      <c r="B118" s="37" t="str">
        <f aca="false">IF($A118="","",IFERROR(INDEX('Fragrance Projects'!$C$5:$C$64,MATCH($A118,'Fragrance Projects'!$A$5:$A$64,0)),""))</f>
        <v/>
      </c>
      <c r="C118" s="37" t="str">
        <f aca="false">IF($A118="","",IFERROR(INDEX('Fragrance Projects'!$D$5:$D$64,MATCH($A118,'Fragrance Projects'!$A$5:$A$64,0)),""))</f>
        <v/>
      </c>
      <c r="D118" s="30"/>
      <c r="E118" s="30"/>
      <c r="F118" s="38"/>
      <c r="G118" s="38"/>
      <c r="H118" s="38"/>
      <c r="I118" s="38"/>
      <c r="J118" s="38"/>
      <c r="K118" s="38"/>
      <c r="L118" s="30"/>
      <c r="M118" s="30"/>
      <c r="N118" s="34"/>
      <c r="O118" s="34"/>
      <c r="P118" s="34"/>
      <c r="Q118" s="34"/>
      <c r="R118" s="30"/>
      <c r="S118" s="30"/>
      <c r="T118" s="30"/>
      <c r="U118" s="32"/>
      <c r="V118" s="32"/>
      <c r="W118" s="32"/>
      <c r="X118" s="33" t="str">
        <f aca="false">IF($A118="","",SUM($U118:$W118))</f>
        <v/>
      </c>
    </row>
    <row r="119" customFormat="false" ht="30" hidden="false" customHeight="true" outlineLevel="0" collapsed="false">
      <c r="A119" s="30"/>
      <c r="B119" s="37" t="str">
        <f aca="false">IF($A119="","",IFERROR(INDEX('Fragrance Projects'!$C$5:$C$64,MATCH($A119,'Fragrance Projects'!$A$5:$A$64,0)),""))</f>
        <v/>
      </c>
      <c r="C119" s="37" t="str">
        <f aca="false">IF($A119="","",IFERROR(INDEX('Fragrance Projects'!$D$5:$D$64,MATCH($A119,'Fragrance Projects'!$A$5:$A$64,0)),""))</f>
        <v/>
      </c>
      <c r="D119" s="30"/>
      <c r="E119" s="30"/>
      <c r="F119" s="38"/>
      <c r="G119" s="38"/>
      <c r="H119" s="38"/>
      <c r="I119" s="38"/>
      <c r="J119" s="38"/>
      <c r="K119" s="38"/>
      <c r="L119" s="30"/>
      <c r="M119" s="30"/>
      <c r="N119" s="34"/>
      <c r="O119" s="34"/>
      <c r="P119" s="34"/>
      <c r="Q119" s="34"/>
      <c r="R119" s="30"/>
      <c r="S119" s="30"/>
      <c r="T119" s="30"/>
      <c r="U119" s="32"/>
      <c r="V119" s="32"/>
      <c r="W119" s="32"/>
      <c r="X119" s="33" t="str">
        <f aca="false">IF($A119="","",SUM($U119:$W119))</f>
        <v/>
      </c>
    </row>
    <row r="120" customFormat="false" ht="30" hidden="false" customHeight="true" outlineLevel="0" collapsed="false">
      <c r="A120" s="30"/>
      <c r="B120" s="37" t="str">
        <f aca="false">IF($A120="","",IFERROR(INDEX('Fragrance Projects'!$C$5:$C$64,MATCH($A120,'Fragrance Projects'!$A$5:$A$64,0)),""))</f>
        <v/>
      </c>
      <c r="C120" s="37" t="str">
        <f aca="false">IF($A120="","",IFERROR(INDEX('Fragrance Projects'!$D$5:$D$64,MATCH($A120,'Fragrance Projects'!$A$5:$A$64,0)),""))</f>
        <v/>
      </c>
      <c r="D120" s="30"/>
      <c r="E120" s="30"/>
      <c r="F120" s="38"/>
      <c r="G120" s="38"/>
      <c r="H120" s="38"/>
      <c r="I120" s="38"/>
      <c r="J120" s="38"/>
      <c r="K120" s="38"/>
      <c r="L120" s="30"/>
      <c r="M120" s="30"/>
      <c r="N120" s="34"/>
      <c r="O120" s="34"/>
      <c r="P120" s="34"/>
      <c r="Q120" s="34"/>
      <c r="R120" s="30"/>
      <c r="S120" s="30"/>
      <c r="T120" s="30"/>
      <c r="U120" s="32"/>
      <c r="V120" s="32"/>
      <c r="W120" s="32"/>
      <c r="X120" s="33" t="str">
        <f aca="false">IF($A120="","",SUM($U120:$W120))</f>
        <v/>
      </c>
    </row>
    <row r="121" customFormat="false" ht="30" hidden="false" customHeight="true" outlineLevel="0" collapsed="false">
      <c r="A121" s="30"/>
      <c r="B121" s="37" t="str">
        <f aca="false">IF($A121="","",IFERROR(INDEX('Fragrance Projects'!$C$5:$C$64,MATCH($A121,'Fragrance Projects'!$A$5:$A$64,0)),""))</f>
        <v/>
      </c>
      <c r="C121" s="37" t="str">
        <f aca="false">IF($A121="","",IFERROR(INDEX('Fragrance Projects'!$D$5:$D$64,MATCH($A121,'Fragrance Projects'!$A$5:$A$64,0)),""))</f>
        <v/>
      </c>
      <c r="D121" s="30"/>
      <c r="E121" s="30"/>
      <c r="F121" s="38"/>
      <c r="G121" s="38"/>
      <c r="H121" s="38"/>
      <c r="I121" s="38"/>
      <c r="J121" s="38"/>
      <c r="K121" s="38"/>
      <c r="L121" s="30"/>
      <c r="M121" s="30"/>
      <c r="N121" s="34"/>
      <c r="O121" s="34"/>
      <c r="P121" s="34"/>
      <c r="Q121" s="34"/>
      <c r="R121" s="30"/>
      <c r="S121" s="30"/>
      <c r="T121" s="30"/>
      <c r="U121" s="32"/>
      <c r="V121" s="32"/>
      <c r="W121" s="32"/>
      <c r="X121" s="33" t="str">
        <f aca="false">IF($A121="","",SUM($U121:$W121))</f>
        <v/>
      </c>
    </row>
    <row r="122" customFormat="false" ht="30" hidden="false" customHeight="true" outlineLevel="0" collapsed="false">
      <c r="A122" s="30"/>
      <c r="B122" s="37" t="str">
        <f aca="false">IF($A122="","",IFERROR(INDEX('Fragrance Projects'!$C$5:$C$64,MATCH($A122,'Fragrance Projects'!$A$5:$A$64,0)),""))</f>
        <v/>
      </c>
      <c r="C122" s="37" t="str">
        <f aca="false">IF($A122="","",IFERROR(INDEX('Fragrance Projects'!$D$5:$D$64,MATCH($A122,'Fragrance Projects'!$A$5:$A$64,0)),""))</f>
        <v/>
      </c>
      <c r="D122" s="30"/>
      <c r="E122" s="30"/>
      <c r="F122" s="38"/>
      <c r="G122" s="38"/>
      <c r="H122" s="38"/>
      <c r="I122" s="38"/>
      <c r="J122" s="38"/>
      <c r="K122" s="38"/>
      <c r="L122" s="30"/>
      <c r="M122" s="30"/>
      <c r="N122" s="34"/>
      <c r="O122" s="34"/>
      <c r="P122" s="34"/>
      <c r="Q122" s="34"/>
      <c r="R122" s="30"/>
      <c r="S122" s="30"/>
      <c r="T122" s="30"/>
      <c r="U122" s="32"/>
      <c r="V122" s="32"/>
      <c r="W122" s="32"/>
      <c r="X122" s="33" t="str">
        <f aca="false">IF($A122="","",SUM($U122:$W122))</f>
        <v/>
      </c>
    </row>
    <row r="123" customFormat="false" ht="30" hidden="false" customHeight="true" outlineLevel="0" collapsed="false">
      <c r="A123" s="30"/>
      <c r="B123" s="37" t="str">
        <f aca="false">IF($A123="","",IFERROR(INDEX('Fragrance Projects'!$C$5:$C$64,MATCH($A123,'Fragrance Projects'!$A$5:$A$64,0)),""))</f>
        <v/>
      </c>
      <c r="C123" s="37" t="str">
        <f aca="false">IF($A123="","",IFERROR(INDEX('Fragrance Projects'!$D$5:$D$64,MATCH($A123,'Fragrance Projects'!$A$5:$A$64,0)),""))</f>
        <v/>
      </c>
      <c r="D123" s="30"/>
      <c r="E123" s="30"/>
      <c r="F123" s="38"/>
      <c r="G123" s="38"/>
      <c r="H123" s="38"/>
      <c r="I123" s="38"/>
      <c r="J123" s="38"/>
      <c r="K123" s="38"/>
      <c r="L123" s="30"/>
      <c r="M123" s="30"/>
      <c r="N123" s="34"/>
      <c r="O123" s="34"/>
      <c r="P123" s="34"/>
      <c r="Q123" s="34"/>
      <c r="R123" s="30"/>
      <c r="S123" s="30"/>
      <c r="T123" s="30"/>
      <c r="U123" s="32"/>
      <c r="V123" s="32"/>
      <c r="W123" s="32"/>
      <c r="X123" s="33" t="str">
        <f aca="false">IF($A123="","",SUM($U123:$W123))</f>
        <v/>
      </c>
    </row>
    <row r="124" customFormat="false" ht="30" hidden="false" customHeight="true" outlineLevel="0" collapsed="false">
      <c r="A124" s="30"/>
      <c r="B124" s="37" t="str">
        <f aca="false">IF($A124="","",IFERROR(INDEX('Fragrance Projects'!$C$5:$C$64,MATCH($A124,'Fragrance Projects'!$A$5:$A$64,0)),""))</f>
        <v/>
      </c>
      <c r="C124" s="37" t="str">
        <f aca="false">IF($A124="","",IFERROR(INDEX('Fragrance Projects'!$D$5:$D$64,MATCH($A124,'Fragrance Projects'!$A$5:$A$64,0)),""))</f>
        <v/>
      </c>
      <c r="D124" s="30"/>
      <c r="E124" s="30"/>
      <c r="F124" s="38"/>
      <c r="G124" s="38"/>
      <c r="H124" s="38"/>
      <c r="I124" s="38"/>
      <c r="J124" s="38"/>
      <c r="K124" s="38"/>
      <c r="L124" s="30"/>
      <c r="M124" s="30"/>
      <c r="N124" s="34"/>
      <c r="O124" s="34"/>
      <c r="P124" s="34"/>
      <c r="Q124" s="34"/>
      <c r="R124" s="30"/>
      <c r="S124" s="30"/>
      <c r="T124" s="30"/>
      <c r="U124" s="32"/>
      <c r="V124" s="32"/>
      <c r="W124" s="32"/>
      <c r="X124" s="33" t="str">
        <f aca="false">IF($A124="","",SUM($U124:$W124))</f>
        <v/>
      </c>
    </row>
  </sheetData>
  <sheetProtection sheet="true" formatCells="false" formatColumns="false" formatRows="false" insertRows="false" sort="false" autoFilter="false"/>
  <mergeCells count="5">
    <mergeCell ref="A1:X1"/>
    <mergeCell ref="A2:X2"/>
    <mergeCell ref="B3:C3"/>
    <mergeCell ref="F3:G3"/>
    <mergeCell ref="J3:K3"/>
  </mergeCells>
  <conditionalFormatting sqref="S5:S124">
    <cfRule type="expression" priority="2" aboveAverage="0" equalAverage="0" bottom="0" percent="0" rank="0" text="" dxfId="5">
      <formula>S5="Yes"</formula>
    </cfRule>
    <cfRule type="expression" priority="3" aboveAverage="0" equalAverage="0" bottom="0" percent="0" rank="0" text="" dxfId="3">
      <formula>S5="Pending"</formula>
    </cfRule>
  </conditionalFormatting>
  <conditionalFormatting sqref="L5:M124">
    <cfRule type="expression" priority="4" aboveAverage="0" equalAverage="0" bottom="0" percent="0" rank="0" text="" dxfId="4">
      <formula>AND(L5&lt;&gt;"",L5&lt;=5)</formula>
    </cfRule>
    <cfRule type="expression" priority="5" aboveAverage="0" equalAverage="0" bottom="0" percent="0" rank="0" text="" dxfId="5">
      <formula>AND(L5&lt;&gt;"",L5&gt;=8)</formula>
    </cfRule>
  </conditionalFormatting>
  <dataValidations count="3">
    <dataValidation allowBlank="true" error="Please choose a value from the dropdown list." errorStyle="stop" errorTitle="Invalid entry" operator="between" showDropDown="false" showErrorMessage="true" showInputMessage="false" sqref="A5:A124" type="list">
      <formula1>'Fragrance Projects'!$A$5:$A$64</formula1>
      <formula2>0</formula2>
    </dataValidation>
    <dataValidation allowBlank="true" error="Please choose a value from the dropdown list." errorStyle="stop" errorTitle="Invalid entry" operator="between" showDropDown="false" showErrorMessage="true" showInputMessage="false" sqref="R5:R124" type="list">
      <formula1>Lists!$G$2:$G$4</formula1>
      <formula2>0</formula2>
    </dataValidation>
    <dataValidation allowBlank="true" error="Please choose a value from the dropdown list." errorStyle="stop" errorTitle="Invalid entry" operator="between" showDropDown="false" showErrorMessage="true" showInputMessage="false" sqref="S5:S124" type="list">
      <formula1>Lists!$G$2:$G$4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5"/>
    <col collapsed="false" customWidth="true" hidden="false" outlineLevel="0" max="3" min="3" style="3" width="20"/>
    <col collapsed="false" customWidth="true" hidden="false" outlineLevel="0" max="30" min="4" style="3" width="13"/>
  </cols>
  <sheetData>
    <row r="1" customFormat="false" ht="33.75" hidden="false" customHeight="true" outlineLevel="0" collapsed="false">
      <c r="A1" s="4" t="s">
        <v>299</v>
      </c>
      <c r="B1" s="4"/>
      <c r="C1" s="4"/>
      <c r="D1" s="4"/>
      <c r="E1" s="4"/>
      <c r="F1" s="4"/>
      <c r="G1" s="4"/>
      <c r="H1" s="4"/>
      <c r="I1" s="4"/>
      <c r="J1" s="4"/>
      <c r="K1" s="4"/>
      <c r="L1" s="4"/>
      <c r="M1" s="4"/>
      <c r="N1" s="4"/>
      <c r="O1" s="4"/>
      <c r="P1" s="4"/>
      <c r="Q1" s="4"/>
      <c r="R1" s="4"/>
      <c r="S1" s="4"/>
      <c r="T1" s="4"/>
      <c r="U1" s="4"/>
      <c r="V1" s="4"/>
      <c r="W1" s="4"/>
      <c r="X1" s="4"/>
      <c r="Y1" s="4"/>
      <c r="Z1" s="4"/>
      <c r="AA1" s="4"/>
      <c r="AB1" s="4"/>
      <c r="AC1" s="4"/>
      <c r="AD1" s="4"/>
    </row>
    <row r="2" customFormat="false" ht="19.5" hidden="false" customHeight="true" outlineLevel="0" collapsed="false">
      <c r="A2" s="25" t="s">
        <v>300</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50</v>
      </c>
      <c r="C4" s="17" t="s">
        <v>157</v>
      </c>
      <c r="D4" s="17" t="s">
        <v>301</v>
      </c>
      <c r="E4" s="17" t="s">
        <v>302</v>
      </c>
      <c r="F4" s="17" t="s">
        <v>303</v>
      </c>
      <c r="G4" s="17" t="s">
        <v>304</v>
      </c>
      <c r="H4" s="17" t="s">
        <v>59</v>
      </c>
      <c r="I4" s="17" t="s">
        <v>305</v>
      </c>
      <c r="J4" s="17" t="s">
        <v>111</v>
      </c>
      <c r="K4" s="17" t="s">
        <v>118</v>
      </c>
      <c r="L4" s="17" t="s">
        <v>122</v>
      </c>
      <c r="M4" s="17" t="s">
        <v>125</v>
      </c>
      <c r="N4" s="17" t="s">
        <v>306</v>
      </c>
      <c r="O4" s="17" t="s">
        <v>307</v>
      </c>
      <c r="P4" s="17" t="s">
        <v>308</v>
      </c>
      <c r="Q4" s="17" t="s">
        <v>309</v>
      </c>
      <c r="R4" s="17" t="s">
        <v>310</v>
      </c>
      <c r="S4" s="17" t="s">
        <v>311</v>
      </c>
      <c r="T4" s="17" t="s">
        <v>312</v>
      </c>
      <c r="U4" s="17" t="s">
        <v>313</v>
      </c>
      <c r="V4" s="17" t="s">
        <v>314</v>
      </c>
      <c r="W4" s="17" t="s">
        <v>315</v>
      </c>
      <c r="X4" s="17" t="s">
        <v>316</v>
      </c>
      <c r="Y4" s="17" t="s">
        <v>317</v>
      </c>
      <c r="Z4" s="17" t="s">
        <v>318</v>
      </c>
      <c r="AA4" s="17" t="s">
        <v>319</v>
      </c>
      <c r="AB4" s="17" t="s">
        <v>320</v>
      </c>
      <c r="AC4" s="17" t="s">
        <v>321</v>
      </c>
      <c r="AD4" s="17" t="s">
        <v>322</v>
      </c>
    </row>
    <row r="5" customFormat="false" ht="18" hidden="false" customHeight="true" outlineLevel="0" collapsed="false">
      <c r="A5" s="30"/>
      <c r="B5" s="37" t="str">
        <f aca="false">IF($A5="","",IFERROR(INDEX('Fragrance Projects'!$C$5:$C$64,MATCH($A5,'Fragrance Projects'!$A$5:$A$64,0)),""))</f>
        <v/>
      </c>
      <c r="C5" s="37" t="str">
        <f aca="false">IF($A5="","",IFERROR(INDEX('Fragrance Projects'!$D$5:$D$64,MATCH($A5,'Fragrance Projects'!$A$5:$A$64,0)),""))</f>
        <v/>
      </c>
      <c r="D5" s="32"/>
      <c r="E5" s="33" t="str">
        <f aca="false">IF($A5="","",IFERROR(INDEX(Payments!$G$5:$G$64,MATCH($A5,Payments!$B$5:$B$64,0)),0)+IFERROR(INDEX(Payments!$K$5:$K$64,MATCH($A5,Payments!$B$5:$B$64,0)),0))</f>
        <v/>
      </c>
      <c r="F5" s="33" t="str">
        <f aca="false">IF($A5="","",$D5-$E5)</f>
        <v/>
      </c>
      <c r="G5" s="33" t="str">
        <f aca="false">IF($A5="","",SUMIFS('Expense Log'!$J$5:$J$154,'Expense Log'!$B$5:$B$154,$A5,'Expense Log'!$E$5:$E$154,"Raw Materials"))</f>
        <v/>
      </c>
      <c r="H5" s="33" t="str">
        <f aca="false">IF($A5="","",SUMIFS('Expense Log'!$J$5:$J$154,'Expense Log'!$B$5:$B$154,$A5,'Expense Log'!$E$5:$E$154,"Alcohol/Carrier"))</f>
        <v/>
      </c>
      <c r="I5" s="33" t="str">
        <f aca="false">IF($A5="","",SUMIFS('Expense Log'!$J$5:$J$154,'Expense Log'!$B$5:$B$154,$A5,'Expense Log'!$E$5:$E$154,"Bottles")+SUMIFS('Expense Log'!$J$5:$J$154,'Expense Log'!$B$5:$B$154,$A5,'Expense Log'!$E$5:$E$154,"Sample Vials"))</f>
        <v/>
      </c>
      <c r="J5" s="33" t="str">
        <f aca="false">IF($A5="","",SUMIFS('Expense Log'!$J$5:$J$154,'Expense Log'!$B$5:$B$154,$A5,'Expense Log'!$E$5:$E$154,"Packaging"))</f>
        <v/>
      </c>
      <c r="K5" s="33" t="str">
        <f aca="false">IF($A5="","",SUMIFS('Expense Log'!$J$5:$J$154,'Expense Log'!$B$5:$B$154,$A5,'Expense Log'!$E$5:$E$154,"Labels"))</f>
        <v/>
      </c>
      <c r="L5" s="33" t="str">
        <f aca="false">IF($A5="","",SUMIFS('Expense Log'!$J$5:$J$154,'Expense Log'!$B$5:$B$154,$A5,'Expense Log'!$E$5:$E$154,"Shipping"))</f>
        <v/>
      </c>
      <c r="M5" s="33" t="str">
        <f aca="false">IF($A5="","",SUMIFS('Expense Log'!$J$5:$J$154,'Expense Log'!$B$5:$B$154,$A5,'Expense Log'!$E$5:$E$154,"Documentation"))</f>
        <v/>
      </c>
      <c r="N5" s="33" t="str">
        <f aca="false">IF($A5="","",SUMIFS('Expense Log'!$J$5:$J$154,'Expense Log'!$B$5:$B$154,$A5,'Expense Log'!$E$5:$E$154,"SDS"))</f>
        <v/>
      </c>
      <c r="O5" s="33" t="str">
        <f aca="false">IF($A5="","",SUMIFS('Expense Log'!$J$5:$J$154,'Expense Log'!$B$5:$B$154,$A5,'Expense Log'!$E$5:$E$154,"IFRA/Allergen"))</f>
        <v/>
      </c>
      <c r="P5" s="33" t="str">
        <f aca="false">IF($A5="","",SUMIFS('Expense Log'!$J$5:$J$154,'Expense Log'!$B$5:$B$154,$A5,'Expense Log'!$E$5:$E$154,"CPSR"))</f>
        <v/>
      </c>
      <c r="Q5" s="33" t="str">
        <f aca="false">IF($A5="","",SUMIFS('Expense Log'!$J$5:$J$154,'Expense Log'!$B$5:$B$154,$A5,'Expense Log'!$E$5:$E$154,"Compounding"))</f>
        <v/>
      </c>
      <c r="R5" s="33" t="str">
        <f aca="false">IF($A5="","",SUMIFS('Expense Log'!$J$5:$J$154,'Expense Log'!$B$5:$B$154,$A5,'Expense Log'!$E$5:$E$154,"External Perfumer"))</f>
        <v/>
      </c>
      <c r="S5" s="33" t="str">
        <f aca="false">IF($A5="","",SUMIFS('Expense Log'!$J$5:$J$154,'Expense Log'!$B$5:$B$154,$A5,'Expense Log'!$E$5:$E$154,"Payment Fees"))</f>
        <v/>
      </c>
      <c r="T5" s="33" t="str">
        <f aca="false">IF($A5="","",SUMIFS('Expense Log'!$J$5:$J$154,'Expense Log'!$B$5:$B$154,$A5,'Expense Log'!$E$5:$E$154,"Testing")+SUMIFS('Expense Log'!$J$5:$J$154,'Expense Log'!$B$5:$B$154,$A5,'Expense Log'!$E$5:$E$154,"Software")+SUMIFS('Expense Log'!$J$5:$J$154,'Expense Log'!$B$5:$B$154,$A5,'Expense Log'!$E$5:$E$154,"Other"))</f>
        <v/>
      </c>
      <c r="U5" s="33" t="str">
        <f aca="false">IF($A5="","",SUM($G5:$T5))</f>
        <v/>
      </c>
      <c r="V5" s="39" t="str">
        <f aca="false">IF($A5="","",SUMIFS('Iteration Tracker'!$T$5:$T$124,'Iteration Tracker'!$A$5:$A$124,$A5))</f>
        <v/>
      </c>
      <c r="W5" s="40"/>
      <c r="X5" s="33" t="str">
        <f aca="false">IF($A5="","",$V5*$W5)</f>
        <v/>
      </c>
      <c r="Y5" s="33" t="str">
        <f aca="false">IF($A5="","",$U5+$X5)</f>
        <v/>
      </c>
      <c r="Z5" s="33" t="str">
        <f aca="false">IF($A5="","",$D5-$U5)</f>
        <v/>
      </c>
      <c r="AA5" s="33" t="str">
        <f aca="false">IF($A5="","",$D5-$Y5)</f>
        <v/>
      </c>
      <c r="AB5" s="41" t="str">
        <f aca="false">IF(OR($A5="",$D5=0),"",$Z5/$D5)</f>
        <v/>
      </c>
      <c r="AC5" s="41" t="str">
        <f aca="false">IF(OR($A5="",$D5=0),"",$AA5/$D5)</f>
        <v/>
      </c>
      <c r="AD5" s="42" t="str">
        <f aca="false">IFERROR(IF($A5="","",$Z5/$V5),"")</f>
        <v/>
      </c>
    </row>
    <row r="6" customFormat="false" ht="18" hidden="false" customHeight="true" outlineLevel="0" collapsed="false">
      <c r="A6" s="30"/>
      <c r="B6" s="37" t="str">
        <f aca="false">IF($A6="","",IFERROR(INDEX('Fragrance Projects'!$C$5:$C$64,MATCH($A6,'Fragrance Projects'!$A$5:$A$64,0)),""))</f>
        <v/>
      </c>
      <c r="C6" s="37" t="str">
        <f aca="false">IF($A6="","",IFERROR(INDEX('Fragrance Projects'!$D$5:$D$64,MATCH($A6,'Fragrance Projects'!$A$5:$A$64,0)),""))</f>
        <v/>
      </c>
      <c r="D6" s="32"/>
      <c r="E6" s="33" t="str">
        <f aca="false">IF($A6="","",IFERROR(INDEX(Payments!$G$5:$G$64,MATCH($A6,Payments!$B$5:$B$64,0)),0)+IFERROR(INDEX(Payments!$K$5:$K$64,MATCH($A6,Payments!$B$5:$B$64,0)),0))</f>
        <v/>
      </c>
      <c r="F6" s="33" t="str">
        <f aca="false">IF($A6="","",$D6-$E6)</f>
        <v/>
      </c>
      <c r="G6" s="33" t="str">
        <f aca="false">IF($A6="","",SUMIFS('Expense Log'!$J$5:$J$154,'Expense Log'!$B$5:$B$154,$A6,'Expense Log'!$E$5:$E$154,"Raw Materials"))</f>
        <v/>
      </c>
      <c r="H6" s="33" t="str">
        <f aca="false">IF($A6="","",SUMIFS('Expense Log'!$J$5:$J$154,'Expense Log'!$B$5:$B$154,$A6,'Expense Log'!$E$5:$E$154,"Alcohol/Carrier"))</f>
        <v/>
      </c>
      <c r="I6" s="33" t="str">
        <f aca="false">IF($A6="","",SUMIFS('Expense Log'!$J$5:$J$154,'Expense Log'!$B$5:$B$154,$A6,'Expense Log'!$E$5:$E$154,"Bottles")+SUMIFS('Expense Log'!$J$5:$J$154,'Expense Log'!$B$5:$B$154,$A6,'Expense Log'!$E$5:$E$154,"Sample Vials"))</f>
        <v/>
      </c>
      <c r="J6" s="33" t="str">
        <f aca="false">IF($A6="","",SUMIFS('Expense Log'!$J$5:$J$154,'Expense Log'!$B$5:$B$154,$A6,'Expense Log'!$E$5:$E$154,"Packaging"))</f>
        <v/>
      </c>
      <c r="K6" s="33" t="str">
        <f aca="false">IF($A6="","",SUMIFS('Expense Log'!$J$5:$J$154,'Expense Log'!$B$5:$B$154,$A6,'Expense Log'!$E$5:$E$154,"Labels"))</f>
        <v/>
      </c>
      <c r="L6" s="33" t="str">
        <f aca="false">IF($A6="","",SUMIFS('Expense Log'!$J$5:$J$154,'Expense Log'!$B$5:$B$154,$A6,'Expense Log'!$E$5:$E$154,"Shipping"))</f>
        <v/>
      </c>
      <c r="M6" s="33" t="str">
        <f aca="false">IF($A6="","",SUMIFS('Expense Log'!$J$5:$J$154,'Expense Log'!$B$5:$B$154,$A6,'Expense Log'!$E$5:$E$154,"Documentation"))</f>
        <v/>
      </c>
      <c r="N6" s="33" t="str">
        <f aca="false">IF($A6="","",SUMIFS('Expense Log'!$J$5:$J$154,'Expense Log'!$B$5:$B$154,$A6,'Expense Log'!$E$5:$E$154,"SDS"))</f>
        <v/>
      </c>
      <c r="O6" s="33" t="str">
        <f aca="false">IF($A6="","",SUMIFS('Expense Log'!$J$5:$J$154,'Expense Log'!$B$5:$B$154,$A6,'Expense Log'!$E$5:$E$154,"IFRA/Allergen"))</f>
        <v/>
      </c>
      <c r="P6" s="33" t="str">
        <f aca="false">IF($A6="","",SUMIFS('Expense Log'!$J$5:$J$154,'Expense Log'!$B$5:$B$154,$A6,'Expense Log'!$E$5:$E$154,"CPSR"))</f>
        <v/>
      </c>
      <c r="Q6" s="33" t="str">
        <f aca="false">IF($A6="","",SUMIFS('Expense Log'!$J$5:$J$154,'Expense Log'!$B$5:$B$154,$A6,'Expense Log'!$E$5:$E$154,"Compounding"))</f>
        <v/>
      </c>
      <c r="R6" s="33" t="str">
        <f aca="false">IF($A6="","",SUMIFS('Expense Log'!$J$5:$J$154,'Expense Log'!$B$5:$B$154,$A6,'Expense Log'!$E$5:$E$154,"External Perfumer"))</f>
        <v/>
      </c>
      <c r="S6" s="33" t="str">
        <f aca="false">IF($A6="","",SUMIFS('Expense Log'!$J$5:$J$154,'Expense Log'!$B$5:$B$154,$A6,'Expense Log'!$E$5:$E$154,"Payment Fees"))</f>
        <v/>
      </c>
      <c r="T6" s="33" t="str">
        <f aca="false">IF($A6="","",SUMIFS('Expense Log'!$J$5:$J$154,'Expense Log'!$B$5:$B$154,$A6,'Expense Log'!$E$5:$E$154,"Testing")+SUMIFS('Expense Log'!$J$5:$J$154,'Expense Log'!$B$5:$B$154,$A6,'Expense Log'!$E$5:$E$154,"Software")+SUMIFS('Expense Log'!$J$5:$J$154,'Expense Log'!$B$5:$B$154,$A6,'Expense Log'!$E$5:$E$154,"Other"))</f>
        <v/>
      </c>
      <c r="U6" s="33" t="str">
        <f aca="false">IF($A6="","",SUM($G6:$T6))</f>
        <v/>
      </c>
      <c r="V6" s="39" t="str">
        <f aca="false">IF($A6="","",SUMIFS('Iteration Tracker'!$T$5:$T$124,'Iteration Tracker'!$A$5:$A$124,$A6))</f>
        <v/>
      </c>
      <c r="W6" s="40"/>
      <c r="X6" s="33" t="str">
        <f aca="false">IF($A6="","",$V6*$W6)</f>
        <v/>
      </c>
      <c r="Y6" s="33" t="str">
        <f aca="false">IF($A6="","",$U6+$X6)</f>
        <v/>
      </c>
      <c r="Z6" s="33" t="str">
        <f aca="false">IF($A6="","",$D6-$U6)</f>
        <v/>
      </c>
      <c r="AA6" s="33" t="str">
        <f aca="false">IF($A6="","",$D6-$Y6)</f>
        <v/>
      </c>
      <c r="AB6" s="41" t="str">
        <f aca="false">IF(OR($A6="",$D6=0),"",$Z6/$D6)</f>
        <v/>
      </c>
      <c r="AC6" s="41" t="str">
        <f aca="false">IF(OR($A6="",$D6=0),"",$AA6/$D6)</f>
        <v/>
      </c>
      <c r="AD6" s="42" t="str">
        <f aca="false">IFERROR(IF($A6="","",$Z6/$V6),"")</f>
        <v/>
      </c>
    </row>
    <row r="7" customFormat="false" ht="18" hidden="false" customHeight="true" outlineLevel="0" collapsed="false">
      <c r="A7" s="30"/>
      <c r="B7" s="37" t="str">
        <f aca="false">IF($A7="","",IFERROR(INDEX('Fragrance Projects'!$C$5:$C$64,MATCH($A7,'Fragrance Projects'!$A$5:$A$64,0)),""))</f>
        <v/>
      </c>
      <c r="C7" s="37" t="str">
        <f aca="false">IF($A7="","",IFERROR(INDEX('Fragrance Projects'!$D$5:$D$64,MATCH($A7,'Fragrance Projects'!$A$5:$A$64,0)),""))</f>
        <v/>
      </c>
      <c r="D7" s="32"/>
      <c r="E7" s="33" t="str">
        <f aca="false">IF($A7="","",IFERROR(INDEX(Payments!$G$5:$G$64,MATCH($A7,Payments!$B$5:$B$64,0)),0)+IFERROR(INDEX(Payments!$K$5:$K$64,MATCH($A7,Payments!$B$5:$B$64,0)),0))</f>
        <v/>
      </c>
      <c r="F7" s="33" t="str">
        <f aca="false">IF($A7="","",$D7-$E7)</f>
        <v/>
      </c>
      <c r="G7" s="33" t="str">
        <f aca="false">IF($A7="","",SUMIFS('Expense Log'!$J$5:$J$154,'Expense Log'!$B$5:$B$154,$A7,'Expense Log'!$E$5:$E$154,"Raw Materials"))</f>
        <v/>
      </c>
      <c r="H7" s="33" t="str">
        <f aca="false">IF($A7="","",SUMIFS('Expense Log'!$J$5:$J$154,'Expense Log'!$B$5:$B$154,$A7,'Expense Log'!$E$5:$E$154,"Alcohol/Carrier"))</f>
        <v/>
      </c>
      <c r="I7" s="33" t="str">
        <f aca="false">IF($A7="","",SUMIFS('Expense Log'!$J$5:$J$154,'Expense Log'!$B$5:$B$154,$A7,'Expense Log'!$E$5:$E$154,"Bottles")+SUMIFS('Expense Log'!$J$5:$J$154,'Expense Log'!$B$5:$B$154,$A7,'Expense Log'!$E$5:$E$154,"Sample Vials"))</f>
        <v/>
      </c>
      <c r="J7" s="33" t="str">
        <f aca="false">IF($A7="","",SUMIFS('Expense Log'!$J$5:$J$154,'Expense Log'!$B$5:$B$154,$A7,'Expense Log'!$E$5:$E$154,"Packaging"))</f>
        <v/>
      </c>
      <c r="K7" s="33" t="str">
        <f aca="false">IF($A7="","",SUMIFS('Expense Log'!$J$5:$J$154,'Expense Log'!$B$5:$B$154,$A7,'Expense Log'!$E$5:$E$154,"Labels"))</f>
        <v/>
      </c>
      <c r="L7" s="33" t="str">
        <f aca="false">IF($A7="","",SUMIFS('Expense Log'!$J$5:$J$154,'Expense Log'!$B$5:$B$154,$A7,'Expense Log'!$E$5:$E$154,"Shipping"))</f>
        <v/>
      </c>
      <c r="M7" s="33" t="str">
        <f aca="false">IF($A7="","",SUMIFS('Expense Log'!$J$5:$J$154,'Expense Log'!$B$5:$B$154,$A7,'Expense Log'!$E$5:$E$154,"Documentation"))</f>
        <v/>
      </c>
      <c r="N7" s="33" t="str">
        <f aca="false">IF($A7="","",SUMIFS('Expense Log'!$J$5:$J$154,'Expense Log'!$B$5:$B$154,$A7,'Expense Log'!$E$5:$E$154,"SDS"))</f>
        <v/>
      </c>
      <c r="O7" s="33" t="str">
        <f aca="false">IF($A7="","",SUMIFS('Expense Log'!$J$5:$J$154,'Expense Log'!$B$5:$B$154,$A7,'Expense Log'!$E$5:$E$154,"IFRA/Allergen"))</f>
        <v/>
      </c>
      <c r="P7" s="33" t="str">
        <f aca="false">IF($A7="","",SUMIFS('Expense Log'!$J$5:$J$154,'Expense Log'!$B$5:$B$154,$A7,'Expense Log'!$E$5:$E$154,"CPSR"))</f>
        <v/>
      </c>
      <c r="Q7" s="33" t="str">
        <f aca="false">IF($A7="","",SUMIFS('Expense Log'!$J$5:$J$154,'Expense Log'!$B$5:$B$154,$A7,'Expense Log'!$E$5:$E$154,"Compounding"))</f>
        <v/>
      </c>
      <c r="R7" s="33" t="str">
        <f aca="false">IF($A7="","",SUMIFS('Expense Log'!$J$5:$J$154,'Expense Log'!$B$5:$B$154,$A7,'Expense Log'!$E$5:$E$154,"External Perfumer"))</f>
        <v/>
      </c>
      <c r="S7" s="33" t="str">
        <f aca="false">IF($A7="","",SUMIFS('Expense Log'!$J$5:$J$154,'Expense Log'!$B$5:$B$154,$A7,'Expense Log'!$E$5:$E$154,"Payment Fees"))</f>
        <v/>
      </c>
      <c r="T7" s="33" t="str">
        <f aca="false">IF($A7="","",SUMIFS('Expense Log'!$J$5:$J$154,'Expense Log'!$B$5:$B$154,$A7,'Expense Log'!$E$5:$E$154,"Testing")+SUMIFS('Expense Log'!$J$5:$J$154,'Expense Log'!$B$5:$B$154,$A7,'Expense Log'!$E$5:$E$154,"Software")+SUMIFS('Expense Log'!$J$5:$J$154,'Expense Log'!$B$5:$B$154,$A7,'Expense Log'!$E$5:$E$154,"Other"))</f>
        <v/>
      </c>
      <c r="U7" s="33" t="str">
        <f aca="false">IF($A7="","",SUM($G7:$T7))</f>
        <v/>
      </c>
      <c r="V7" s="39" t="str">
        <f aca="false">IF($A7="","",SUMIFS('Iteration Tracker'!$T$5:$T$124,'Iteration Tracker'!$A$5:$A$124,$A7))</f>
        <v/>
      </c>
      <c r="W7" s="40"/>
      <c r="X7" s="33" t="str">
        <f aca="false">IF($A7="","",$V7*$W7)</f>
        <v/>
      </c>
      <c r="Y7" s="33" t="str">
        <f aca="false">IF($A7="","",$U7+$X7)</f>
        <v/>
      </c>
      <c r="Z7" s="33" t="str">
        <f aca="false">IF($A7="","",$D7-$U7)</f>
        <v/>
      </c>
      <c r="AA7" s="33" t="str">
        <f aca="false">IF($A7="","",$D7-$Y7)</f>
        <v/>
      </c>
      <c r="AB7" s="41" t="str">
        <f aca="false">IF(OR($A7="",$D7=0),"",$Z7/$D7)</f>
        <v/>
      </c>
      <c r="AC7" s="41" t="str">
        <f aca="false">IF(OR($A7="",$D7=0),"",$AA7/$D7)</f>
        <v/>
      </c>
      <c r="AD7" s="42" t="str">
        <f aca="false">IFERROR(IF($A7="","",$Z7/$V7),"")</f>
        <v/>
      </c>
    </row>
    <row r="8" customFormat="false" ht="18" hidden="false" customHeight="true" outlineLevel="0" collapsed="false">
      <c r="A8" s="30"/>
      <c r="B8" s="37" t="str">
        <f aca="false">IF($A8="","",IFERROR(INDEX('Fragrance Projects'!$C$5:$C$64,MATCH($A8,'Fragrance Projects'!$A$5:$A$64,0)),""))</f>
        <v/>
      </c>
      <c r="C8" s="37" t="str">
        <f aca="false">IF($A8="","",IFERROR(INDEX('Fragrance Projects'!$D$5:$D$64,MATCH($A8,'Fragrance Projects'!$A$5:$A$64,0)),""))</f>
        <v/>
      </c>
      <c r="D8" s="32"/>
      <c r="E8" s="33" t="str">
        <f aca="false">IF($A8="","",IFERROR(INDEX(Payments!$G$5:$G$64,MATCH($A8,Payments!$B$5:$B$64,0)),0)+IFERROR(INDEX(Payments!$K$5:$K$64,MATCH($A8,Payments!$B$5:$B$64,0)),0))</f>
        <v/>
      </c>
      <c r="F8" s="33" t="str">
        <f aca="false">IF($A8="","",$D8-$E8)</f>
        <v/>
      </c>
      <c r="G8" s="33" t="str">
        <f aca="false">IF($A8="","",SUMIFS('Expense Log'!$J$5:$J$154,'Expense Log'!$B$5:$B$154,$A8,'Expense Log'!$E$5:$E$154,"Raw Materials"))</f>
        <v/>
      </c>
      <c r="H8" s="33" t="str">
        <f aca="false">IF($A8="","",SUMIFS('Expense Log'!$J$5:$J$154,'Expense Log'!$B$5:$B$154,$A8,'Expense Log'!$E$5:$E$154,"Alcohol/Carrier"))</f>
        <v/>
      </c>
      <c r="I8" s="33" t="str">
        <f aca="false">IF($A8="","",SUMIFS('Expense Log'!$J$5:$J$154,'Expense Log'!$B$5:$B$154,$A8,'Expense Log'!$E$5:$E$154,"Bottles")+SUMIFS('Expense Log'!$J$5:$J$154,'Expense Log'!$B$5:$B$154,$A8,'Expense Log'!$E$5:$E$154,"Sample Vials"))</f>
        <v/>
      </c>
      <c r="J8" s="33" t="str">
        <f aca="false">IF($A8="","",SUMIFS('Expense Log'!$J$5:$J$154,'Expense Log'!$B$5:$B$154,$A8,'Expense Log'!$E$5:$E$154,"Packaging"))</f>
        <v/>
      </c>
      <c r="K8" s="33" t="str">
        <f aca="false">IF($A8="","",SUMIFS('Expense Log'!$J$5:$J$154,'Expense Log'!$B$5:$B$154,$A8,'Expense Log'!$E$5:$E$154,"Labels"))</f>
        <v/>
      </c>
      <c r="L8" s="33" t="str">
        <f aca="false">IF($A8="","",SUMIFS('Expense Log'!$J$5:$J$154,'Expense Log'!$B$5:$B$154,$A8,'Expense Log'!$E$5:$E$154,"Shipping"))</f>
        <v/>
      </c>
      <c r="M8" s="33" t="str">
        <f aca="false">IF($A8="","",SUMIFS('Expense Log'!$J$5:$J$154,'Expense Log'!$B$5:$B$154,$A8,'Expense Log'!$E$5:$E$154,"Documentation"))</f>
        <v/>
      </c>
      <c r="N8" s="33" t="str">
        <f aca="false">IF($A8="","",SUMIFS('Expense Log'!$J$5:$J$154,'Expense Log'!$B$5:$B$154,$A8,'Expense Log'!$E$5:$E$154,"SDS"))</f>
        <v/>
      </c>
      <c r="O8" s="33" t="str">
        <f aca="false">IF($A8="","",SUMIFS('Expense Log'!$J$5:$J$154,'Expense Log'!$B$5:$B$154,$A8,'Expense Log'!$E$5:$E$154,"IFRA/Allergen"))</f>
        <v/>
      </c>
      <c r="P8" s="33" t="str">
        <f aca="false">IF($A8="","",SUMIFS('Expense Log'!$J$5:$J$154,'Expense Log'!$B$5:$B$154,$A8,'Expense Log'!$E$5:$E$154,"CPSR"))</f>
        <v/>
      </c>
      <c r="Q8" s="33" t="str">
        <f aca="false">IF($A8="","",SUMIFS('Expense Log'!$J$5:$J$154,'Expense Log'!$B$5:$B$154,$A8,'Expense Log'!$E$5:$E$154,"Compounding"))</f>
        <v/>
      </c>
      <c r="R8" s="33" t="str">
        <f aca="false">IF($A8="","",SUMIFS('Expense Log'!$J$5:$J$154,'Expense Log'!$B$5:$B$154,$A8,'Expense Log'!$E$5:$E$154,"External Perfumer"))</f>
        <v/>
      </c>
      <c r="S8" s="33" t="str">
        <f aca="false">IF($A8="","",SUMIFS('Expense Log'!$J$5:$J$154,'Expense Log'!$B$5:$B$154,$A8,'Expense Log'!$E$5:$E$154,"Payment Fees"))</f>
        <v/>
      </c>
      <c r="T8" s="33" t="str">
        <f aca="false">IF($A8="","",SUMIFS('Expense Log'!$J$5:$J$154,'Expense Log'!$B$5:$B$154,$A8,'Expense Log'!$E$5:$E$154,"Testing")+SUMIFS('Expense Log'!$J$5:$J$154,'Expense Log'!$B$5:$B$154,$A8,'Expense Log'!$E$5:$E$154,"Software")+SUMIFS('Expense Log'!$J$5:$J$154,'Expense Log'!$B$5:$B$154,$A8,'Expense Log'!$E$5:$E$154,"Other"))</f>
        <v/>
      </c>
      <c r="U8" s="33" t="str">
        <f aca="false">IF($A8="","",SUM($G8:$T8))</f>
        <v/>
      </c>
      <c r="V8" s="39" t="str">
        <f aca="false">IF($A8="","",SUMIFS('Iteration Tracker'!$T$5:$T$124,'Iteration Tracker'!$A$5:$A$124,$A8))</f>
        <v/>
      </c>
      <c r="W8" s="40"/>
      <c r="X8" s="33" t="str">
        <f aca="false">IF($A8="","",$V8*$W8)</f>
        <v/>
      </c>
      <c r="Y8" s="33" t="str">
        <f aca="false">IF($A8="","",$U8+$X8)</f>
        <v/>
      </c>
      <c r="Z8" s="33" t="str">
        <f aca="false">IF($A8="","",$D8-$U8)</f>
        <v/>
      </c>
      <c r="AA8" s="33" t="str">
        <f aca="false">IF($A8="","",$D8-$Y8)</f>
        <v/>
      </c>
      <c r="AB8" s="41" t="str">
        <f aca="false">IF(OR($A8="",$D8=0),"",$Z8/$D8)</f>
        <v/>
      </c>
      <c r="AC8" s="41" t="str">
        <f aca="false">IF(OR($A8="",$D8=0),"",$AA8/$D8)</f>
        <v/>
      </c>
      <c r="AD8" s="42" t="str">
        <f aca="false">IFERROR(IF($A8="","",$Z8/$V8),"")</f>
        <v/>
      </c>
    </row>
    <row r="9" customFormat="false" ht="18" hidden="false" customHeight="true" outlineLevel="0" collapsed="false">
      <c r="A9" s="30"/>
      <c r="B9" s="37" t="str">
        <f aca="false">IF($A9="","",IFERROR(INDEX('Fragrance Projects'!$C$5:$C$64,MATCH($A9,'Fragrance Projects'!$A$5:$A$64,0)),""))</f>
        <v/>
      </c>
      <c r="C9" s="37" t="str">
        <f aca="false">IF($A9="","",IFERROR(INDEX('Fragrance Projects'!$D$5:$D$64,MATCH($A9,'Fragrance Projects'!$A$5:$A$64,0)),""))</f>
        <v/>
      </c>
      <c r="D9" s="32"/>
      <c r="E9" s="33" t="str">
        <f aca="false">IF($A9="","",IFERROR(INDEX(Payments!$G$5:$G$64,MATCH($A9,Payments!$B$5:$B$64,0)),0)+IFERROR(INDEX(Payments!$K$5:$K$64,MATCH($A9,Payments!$B$5:$B$64,0)),0))</f>
        <v/>
      </c>
      <c r="F9" s="33" t="str">
        <f aca="false">IF($A9="","",$D9-$E9)</f>
        <v/>
      </c>
      <c r="G9" s="33" t="str">
        <f aca="false">IF($A9="","",SUMIFS('Expense Log'!$J$5:$J$154,'Expense Log'!$B$5:$B$154,$A9,'Expense Log'!$E$5:$E$154,"Raw Materials"))</f>
        <v/>
      </c>
      <c r="H9" s="33" t="str">
        <f aca="false">IF($A9="","",SUMIFS('Expense Log'!$J$5:$J$154,'Expense Log'!$B$5:$B$154,$A9,'Expense Log'!$E$5:$E$154,"Alcohol/Carrier"))</f>
        <v/>
      </c>
      <c r="I9" s="33" t="str">
        <f aca="false">IF($A9="","",SUMIFS('Expense Log'!$J$5:$J$154,'Expense Log'!$B$5:$B$154,$A9,'Expense Log'!$E$5:$E$154,"Bottles")+SUMIFS('Expense Log'!$J$5:$J$154,'Expense Log'!$B$5:$B$154,$A9,'Expense Log'!$E$5:$E$154,"Sample Vials"))</f>
        <v/>
      </c>
      <c r="J9" s="33" t="str">
        <f aca="false">IF($A9="","",SUMIFS('Expense Log'!$J$5:$J$154,'Expense Log'!$B$5:$B$154,$A9,'Expense Log'!$E$5:$E$154,"Packaging"))</f>
        <v/>
      </c>
      <c r="K9" s="33" t="str">
        <f aca="false">IF($A9="","",SUMIFS('Expense Log'!$J$5:$J$154,'Expense Log'!$B$5:$B$154,$A9,'Expense Log'!$E$5:$E$154,"Labels"))</f>
        <v/>
      </c>
      <c r="L9" s="33" t="str">
        <f aca="false">IF($A9="","",SUMIFS('Expense Log'!$J$5:$J$154,'Expense Log'!$B$5:$B$154,$A9,'Expense Log'!$E$5:$E$154,"Shipping"))</f>
        <v/>
      </c>
      <c r="M9" s="33" t="str">
        <f aca="false">IF($A9="","",SUMIFS('Expense Log'!$J$5:$J$154,'Expense Log'!$B$5:$B$154,$A9,'Expense Log'!$E$5:$E$154,"Documentation"))</f>
        <v/>
      </c>
      <c r="N9" s="33" t="str">
        <f aca="false">IF($A9="","",SUMIFS('Expense Log'!$J$5:$J$154,'Expense Log'!$B$5:$B$154,$A9,'Expense Log'!$E$5:$E$154,"SDS"))</f>
        <v/>
      </c>
      <c r="O9" s="33" t="str">
        <f aca="false">IF($A9="","",SUMIFS('Expense Log'!$J$5:$J$154,'Expense Log'!$B$5:$B$154,$A9,'Expense Log'!$E$5:$E$154,"IFRA/Allergen"))</f>
        <v/>
      </c>
      <c r="P9" s="33" t="str">
        <f aca="false">IF($A9="","",SUMIFS('Expense Log'!$J$5:$J$154,'Expense Log'!$B$5:$B$154,$A9,'Expense Log'!$E$5:$E$154,"CPSR"))</f>
        <v/>
      </c>
      <c r="Q9" s="33" t="str">
        <f aca="false">IF($A9="","",SUMIFS('Expense Log'!$J$5:$J$154,'Expense Log'!$B$5:$B$154,$A9,'Expense Log'!$E$5:$E$154,"Compounding"))</f>
        <v/>
      </c>
      <c r="R9" s="33" t="str">
        <f aca="false">IF($A9="","",SUMIFS('Expense Log'!$J$5:$J$154,'Expense Log'!$B$5:$B$154,$A9,'Expense Log'!$E$5:$E$154,"External Perfumer"))</f>
        <v/>
      </c>
      <c r="S9" s="33" t="str">
        <f aca="false">IF($A9="","",SUMIFS('Expense Log'!$J$5:$J$154,'Expense Log'!$B$5:$B$154,$A9,'Expense Log'!$E$5:$E$154,"Payment Fees"))</f>
        <v/>
      </c>
      <c r="T9" s="33" t="str">
        <f aca="false">IF($A9="","",SUMIFS('Expense Log'!$J$5:$J$154,'Expense Log'!$B$5:$B$154,$A9,'Expense Log'!$E$5:$E$154,"Testing")+SUMIFS('Expense Log'!$J$5:$J$154,'Expense Log'!$B$5:$B$154,$A9,'Expense Log'!$E$5:$E$154,"Software")+SUMIFS('Expense Log'!$J$5:$J$154,'Expense Log'!$B$5:$B$154,$A9,'Expense Log'!$E$5:$E$154,"Other"))</f>
        <v/>
      </c>
      <c r="U9" s="33" t="str">
        <f aca="false">IF($A9="","",SUM($G9:$T9))</f>
        <v/>
      </c>
      <c r="V9" s="39" t="str">
        <f aca="false">IF($A9="","",SUMIFS('Iteration Tracker'!$T$5:$T$124,'Iteration Tracker'!$A$5:$A$124,$A9))</f>
        <v/>
      </c>
      <c r="W9" s="40"/>
      <c r="X9" s="33" t="str">
        <f aca="false">IF($A9="","",$V9*$W9)</f>
        <v/>
      </c>
      <c r="Y9" s="33" t="str">
        <f aca="false">IF($A9="","",$U9+$X9)</f>
        <v/>
      </c>
      <c r="Z9" s="33" t="str">
        <f aca="false">IF($A9="","",$D9-$U9)</f>
        <v/>
      </c>
      <c r="AA9" s="33" t="str">
        <f aca="false">IF($A9="","",$D9-$Y9)</f>
        <v/>
      </c>
      <c r="AB9" s="41" t="str">
        <f aca="false">IF(OR($A9="",$D9=0),"",$Z9/$D9)</f>
        <v/>
      </c>
      <c r="AC9" s="41" t="str">
        <f aca="false">IF(OR($A9="",$D9=0),"",$AA9/$D9)</f>
        <v/>
      </c>
      <c r="AD9" s="42" t="str">
        <f aca="false">IFERROR(IF($A9="","",$Z9/$V9),"")</f>
        <v/>
      </c>
    </row>
    <row r="10" customFormat="false" ht="18" hidden="false" customHeight="true" outlineLevel="0" collapsed="false">
      <c r="A10" s="30"/>
      <c r="B10" s="37" t="str">
        <f aca="false">IF($A10="","",IFERROR(INDEX('Fragrance Projects'!$C$5:$C$64,MATCH($A10,'Fragrance Projects'!$A$5:$A$64,0)),""))</f>
        <v/>
      </c>
      <c r="C10" s="37" t="str">
        <f aca="false">IF($A10="","",IFERROR(INDEX('Fragrance Projects'!$D$5:$D$64,MATCH($A10,'Fragrance Projects'!$A$5:$A$64,0)),""))</f>
        <v/>
      </c>
      <c r="D10" s="32"/>
      <c r="E10" s="33" t="str">
        <f aca="false">IF($A10="","",IFERROR(INDEX(Payments!$G$5:$G$64,MATCH($A10,Payments!$B$5:$B$64,0)),0)+IFERROR(INDEX(Payments!$K$5:$K$64,MATCH($A10,Payments!$B$5:$B$64,0)),0))</f>
        <v/>
      </c>
      <c r="F10" s="33" t="str">
        <f aca="false">IF($A10="","",$D10-$E10)</f>
        <v/>
      </c>
      <c r="G10" s="33" t="str">
        <f aca="false">IF($A10="","",SUMIFS('Expense Log'!$J$5:$J$154,'Expense Log'!$B$5:$B$154,$A10,'Expense Log'!$E$5:$E$154,"Raw Materials"))</f>
        <v/>
      </c>
      <c r="H10" s="33" t="str">
        <f aca="false">IF($A10="","",SUMIFS('Expense Log'!$J$5:$J$154,'Expense Log'!$B$5:$B$154,$A10,'Expense Log'!$E$5:$E$154,"Alcohol/Carrier"))</f>
        <v/>
      </c>
      <c r="I10" s="33" t="str">
        <f aca="false">IF($A10="","",SUMIFS('Expense Log'!$J$5:$J$154,'Expense Log'!$B$5:$B$154,$A10,'Expense Log'!$E$5:$E$154,"Bottles")+SUMIFS('Expense Log'!$J$5:$J$154,'Expense Log'!$B$5:$B$154,$A10,'Expense Log'!$E$5:$E$154,"Sample Vials"))</f>
        <v/>
      </c>
      <c r="J10" s="33" t="str">
        <f aca="false">IF($A10="","",SUMIFS('Expense Log'!$J$5:$J$154,'Expense Log'!$B$5:$B$154,$A10,'Expense Log'!$E$5:$E$154,"Packaging"))</f>
        <v/>
      </c>
      <c r="K10" s="33" t="str">
        <f aca="false">IF($A10="","",SUMIFS('Expense Log'!$J$5:$J$154,'Expense Log'!$B$5:$B$154,$A10,'Expense Log'!$E$5:$E$154,"Labels"))</f>
        <v/>
      </c>
      <c r="L10" s="33" t="str">
        <f aca="false">IF($A10="","",SUMIFS('Expense Log'!$J$5:$J$154,'Expense Log'!$B$5:$B$154,$A10,'Expense Log'!$E$5:$E$154,"Shipping"))</f>
        <v/>
      </c>
      <c r="M10" s="33" t="str">
        <f aca="false">IF($A10="","",SUMIFS('Expense Log'!$J$5:$J$154,'Expense Log'!$B$5:$B$154,$A10,'Expense Log'!$E$5:$E$154,"Documentation"))</f>
        <v/>
      </c>
      <c r="N10" s="33" t="str">
        <f aca="false">IF($A10="","",SUMIFS('Expense Log'!$J$5:$J$154,'Expense Log'!$B$5:$B$154,$A10,'Expense Log'!$E$5:$E$154,"SDS"))</f>
        <v/>
      </c>
      <c r="O10" s="33" t="str">
        <f aca="false">IF($A10="","",SUMIFS('Expense Log'!$J$5:$J$154,'Expense Log'!$B$5:$B$154,$A10,'Expense Log'!$E$5:$E$154,"IFRA/Allergen"))</f>
        <v/>
      </c>
      <c r="P10" s="33" t="str">
        <f aca="false">IF($A10="","",SUMIFS('Expense Log'!$J$5:$J$154,'Expense Log'!$B$5:$B$154,$A10,'Expense Log'!$E$5:$E$154,"CPSR"))</f>
        <v/>
      </c>
      <c r="Q10" s="33" t="str">
        <f aca="false">IF($A10="","",SUMIFS('Expense Log'!$J$5:$J$154,'Expense Log'!$B$5:$B$154,$A10,'Expense Log'!$E$5:$E$154,"Compounding"))</f>
        <v/>
      </c>
      <c r="R10" s="33" t="str">
        <f aca="false">IF($A10="","",SUMIFS('Expense Log'!$J$5:$J$154,'Expense Log'!$B$5:$B$154,$A10,'Expense Log'!$E$5:$E$154,"External Perfumer"))</f>
        <v/>
      </c>
      <c r="S10" s="33" t="str">
        <f aca="false">IF($A10="","",SUMIFS('Expense Log'!$J$5:$J$154,'Expense Log'!$B$5:$B$154,$A10,'Expense Log'!$E$5:$E$154,"Payment Fees"))</f>
        <v/>
      </c>
      <c r="T10" s="33" t="str">
        <f aca="false">IF($A10="","",SUMIFS('Expense Log'!$J$5:$J$154,'Expense Log'!$B$5:$B$154,$A10,'Expense Log'!$E$5:$E$154,"Testing")+SUMIFS('Expense Log'!$J$5:$J$154,'Expense Log'!$B$5:$B$154,$A10,'Expense Log'!$E$5:$E$154,"Software")+SUMIFS('Expense Log'!$J$5:$J$154,'Expense Log'!$B$5:$B$154,$A10,'Expense Log'!$E$5:$E$154,"Other"))</f>
        <v/>
      </c>
      <c r="U10" s="33" t="str">
        <f aca="false">IF($A10="","",SUM($G10:$T10))</f>
        <v/>
      </c>
      <c r="V10" s="39" t="str">
        <f aca="false">IF($A10="","",SUMIFS('Iteration Tracker'!$T$5:$T$124,'Iteration Tracker'!$A$5:$A$124,$A10))</f>
        <v/>
      </c>
      <c r="W10" s="40"/>
      <c r="X10" s="33" t="str">
        <f aca="false">IF($A10="","",$V10*$W10)</f>
        <v/>
      </c>
      <c r="Y10" s="33" t="str">
        <f aca="false">IF($A10="","",$U10+$X10)</f>
        <v/>
      </c>
      <c r="Z10" s="33" t="str">
        <f aca="false">IF($A10="","",$D10-$U10)</f>
        <v/>
      </c>
      <c r="AA10" s="33" t="str">
        <f aca="false">IF($A10="","",$D10-$Y10)</f>
        <v/>
      </c>
      <c r="AB10" s="41" t="str">
        <f aca="false">IF(OR($A10="",$D10=0),"",$Z10/$D10)</f>
        <v/>
      </c>
      <c r="AC10" s="41" t="str">
        <f aca="false">IF(OR($A10="",$D10=0),"",$AA10/$D10)</f>
        <v/>
      </c>
      <c r="AD10" s="42" t="str">
        <f aca="false">IFERROR(IF($A10="","",$Z10/$V10),"")</f>
        <v/>
      </c>
    </row>
    <row r="11" customFormat="false" ht="18" hidden="false" customHeight="true" outlineLevel="0" collapsed="false">
      <c r="A11" s="30"/>
      <c r="B11" s="37" t="str">
        <f aca="false">IF($A11="","",IFERROR(INDEX('Fragrance Projects'!$C$5:$C$64,MATCH($A11,'Fragrance Projects'!$A$5:$A$64,0)),""))</f>
        <v/>
      </c>
      <c r="C11" s="37" t="str">
        <f aca="false">IF($A11="","",IFERROR(INDEX('Fragrance Projects'!$D$5:$D$64,MATCH($A11,'Fragrance Projects'!$A$5:$A$64,0)),""))</f>
        <v/>
      </c>
      <c r="D11" s="32"/>
      <c r="E11" s="33" t="str">
        <f aca="false">IF($A11="","",IFERROR(INDEX(Payments!$G$5:$G$64,MATCH($A11,Payments!$B$5:$B$64,0)),0)+IFERROR(INDEX(Payments!$K$5:$K$64,MATCH($A11,Payments!$B$5:$B$64,0)),0))</f>
        <v/>
      </c>
      <c r="F11" s="33" t="str">
        <f aca="false">IF($A11="","",$D11-$E11)</f>
        <v/>
      </c>
      <c r="G11" s="33" t="str">
        <f aca="false">IF($A11="","",SUMIFS('Expense Log'!$J$5:$J$154,'Expense Log'!$B$5:$B$154,$A11,'Expense Log'!$E$5:$E$154,"Raw Materials"))</f>
        <v/>
      </c>
      <c r="H11" s="33" t="str">
        <f aca="false">IF($A11="","",SUMIFS('Expense Log'!$J$5:$J$154,'Expense Log'!$B$5:$B$154,$A11,'Expense Log'!$E$5:$E$154,"Alcohol/Carrier"))</f>
        <v/>
      </c>
      <c r="I11" s="33" t="str">
        <f aca="false">IF($A11="","",SUMIFS('Expense Log'!$J$5:$J$154,'Expense Log'!$B$5:$B$154,$A11,'Expense Log'!$E$5:$E$154,"Bottles")+SUMIFS('Expense Log'!$J$5:$J$154,'Expense Log'!$B$5:$B$154,$A11,'Expense Log'!$E$5:$E$154,"Sample Vials"))</f>
        <v/>
      </c>
      <c r="J11" s="33" t="str">
        <f aca="false">IF($A11="","",SUMIFS('Expense Log'!$J$5:$J$154,'Expense Log'!$B$5:$B$154,$A11,'Expense Log'!$E$5:$E$154,"Packaging"))</f>
        <v/>
      </c>
      <c r="K11" s="33" t="str">
        <f aca="false">IF($A11="","",SUMIFS('Expense Log'!$J$5:$J$154,'Expense Log'!$B$5:$B$154,$A11,'Expense Log'!$E$5:$E$154,"Labels"))</f>
        <v/>
      </c>
      <c r="L11" s="33" t="str">
        <f aca="false">IF($A11="","",SUMIFS('Expense Log'!$J$5:$J$154,'Expense Log'!$B$5:$B$154,$A11,'Expense Log'!$E$5:$E$154,"Shipping"))</f>
        <v/>
      </c>
      <c r="M11" s="33" t="str">
        <f aca="false">IF($A11="","",SUMIFS('Expense Log'!$J$5:$J$154,'Expense Log'!$B$5:$B$154,$A11,'Expense Log'!$E$5:$E$154,"Documentation"))</f>
        <v/>
      </c>
      <c r="N11" s="33" t="str">
        <f aca="false">IF($A11="","",SUMIFS('Expense Log'!$J$5:$J$154,'Expense Log'!$B$5:$B$154,$A11,'Expense Log'!$E$5:$E$154,"SDS"))</f>
        <v/>
      </c>
      <c r="O11" s="33" t="str">
        <f aca="false">IF($A11="","",SUMIFS('Expense Log'!$J$5:$J$154,'Expense Log'!$B$5:$B$154,$A11,'Expense Log'!$E$5:$E$154,"IFRA/Allergen"))</f>
        <v/>
      </c>
      <c r="P11" s="33" t="str">
        <f aca="false">IF($A11="","",SUMIFS('Expense Log'!$J$5:$J$154,'Expense Log'!$B$5:$B$154,$A11,'Expense Log'!$E$5:$E$154,"CPSR"))</f>
        <v/>
      </c>
      <c r="Q11" s="33" t="str">
        <f aca="false">IF($A11="","",SUMIFS('Expense Log'!$J$5:$J$154,'Expense Log'!$B$5:$B$154,$A11,'Expense Log'!$E$5:$E$154,"Compounding"))</f>
        <v/>
      </c>
      <c r="R11" s="33" t="str">
        <f aca="false">IF($A11="","",SUMIFS('Expense Log'!$J$5:$J$154,'Expense Log'!$B$5:$B$154,$A11,'Expense Log'!$E$5:$E$154,"External Perfumer"))</f>
        <v/>
      </c>
      <c r="S11" s="33" t="str">
        <f aca="false">IF($A11="","",SUMIFS('Expense Log'!$J$5:$J$154,'Expense Log'!$B$5:$B$154,$A11,'Expense Log'!$E$5:$E$154,"Payment Fees"))</f>
        <v/>
      </c>
      <c r="T11" s="33" t="str">
        <f aca="false">IF($A11="","",SUMIFS('Expense Log'!$J$5:$J$154,'Expense Log'!$B$5:$B$154,$A11,'Expense Log'!$E$5:$E$154,"Testing")+SUMIFS('Expense Log'!$J$5:$J$154,'Expense Log'!$B$5:$B$154,$A11,'Expense Log'!$E$5:$E$154,"Software")+SUMIFS('Expense Log'!$J$5:$J$154,'Expense Log'!$B$5:$B$154,$A11,'Expense Log'!$E$5:$E$154,"Other"))</f>
        <v/>
      </c>
      <c r="U11" s="33" t="str">
        <f aca="false">IF($A11="","",SUM($G11:$T11))</f>
        <v/>
      </c>
      <c r="V11" s="39" t="str">
        <f aca="false">IF($A11="","",SUMIFS('Iteration Tracker'!$T$5:$T$124,'Iteration Tracker'!$A$5:$A$124,$A11))</f>
        <v/>
      </c>
      <c r="W11" s="40"/>
      <c r="X11" s="33" t="str">
        <f aca="false">IF($A11="","",$V11*$W11)</f>
        <v/>
      </c>
      <c r="Y11" s="33" t="str">
        <f aca="false">IF($A11="","",$U11+$X11)</f>
        <v/>
      </c>
      <c r="Z11" s="33" t="str">
        <f aca="false">IF($A11="","",$D11-$U11)</f>
        <v/>
      </c>
      <c r="AA11" s="33" t="str">
        <f aca="false">IF($A11="","",$D11-$Y11)</f>
        <v/>
      </c>
      <c r="AB11" s="41" t="str">
        <f aca="false">IF(OR($A11="",$D11=0),"",$Z11/$D11)</f>
        <v/>
      </c>
      <c r="AC11" s="41" t="str">
        <f aca="false">IF(OR($A11="",$D11=0),"",$AA11/$D11)</f>
        <v/>
      </c>
      <c r="AD11" s="42" t="str">
        <f aca="false">IFERROR(IF($A11="","",$Z11/$V11),"")</f>
        <v/>
      </c>
    </row>
    <row r="12" customFormat="false" ht="18" hidden="false" customHeight="true" outlineLevel="0" collapsed="false">
      <c r="A12" s="30"/>
      <c r="B12" s="37" t="str">
        <f aca="false">IF($A12="","",IFERROR(INDEX('Fragrance Projects'!$C$5:$C$64,MATCH($A12,'Fragrance Projects'!$A$5:$A$64,0)),""))</f>
        <v/>
      </c>
      <c r="C12" s="37" t="str">
        <f aca="false">IF($A12="","",IFERROR(INDEX('Fragrance Projects'!$D$5:$D$64,MATCH($A12,'Fragrance Projects'!$A$5:$A$64,0)),""))</f>
        <v/>
      </c>
      <c r="D12" s="32"/>
      <c r="E12" s="33" t="str">
        <f aca="false">IF($A12="","",IFERROR(INDEX(Payments!$G$5:$G$64,MATCH($A12,Payments!$B$5:$B$64,0)),0)+IFERROR(INDEX(Payments!$K$5:$K$64,MATCH($A12,Payments!$B$5:$B$64,0)),0))</f>
        <v/>
      </c>
      <c r="F12" s="33" t="str">
        <f aca="false">IF($A12="","",$D12-$E12)</f>
        <v/>
      </c>
      <c r="G12" s="33" t="str">
        <f aca="false">IF($A12="","",SUMIFS('Expense Log'!$J$5:$J$154,'Expense Log'!$B$5:$B$154,$A12,'Expense Log'!$E$5:$E$154,"Raw Materials"))</f>
        <v/>
      </c>
      <c r="H12" s="33" t="str">
        <f aca="false">IF($A12="","",SUMIFS('Expense Log'!$J$5:$J$154,'Expense Log'!$B$5:$B$154,$A12,'Expense Log'!$E$5:$E$154,"Alcohol/Carrier"))</f>
        <v/>
      </c>
      <c r="I12" s="33" t="str">
        <f aca="false">IF($A12="","",SUMIFS('Expense Log'!$J$5:$J$154,'Expense Log'!$B$5:$B$154,$A12,'Expense Log'!$E$5:$E$154,"Bottles")+SUMIFS('Expense Log'!$J$5:$J$154,'Expense Log'!$B$5:$B$154,$A12,'Expense Log'!$E$5:$E$154,"Sample Vials"))</f>
        <v/>
      </c>
      <c r="J12" s="33" t="str">
        <f aca="false">IF($A12="","",SUMIFS('Expense Log'!$J$5:$J$154,'Expense Log'!$B$5:$B$154,$A12,'Expense Log'!$E$5:$E$154,"Packaging"))</f>
        <v/>
      </c>
      <c r="K12" s="33" t="str">
        <f aca="false">IF($A12="","",SUMIFS('Expense Log'!$J$5:$J$154,'Expense Log'!$B$5:$B$154,$A12,'Expense Log'!$E$5:$E$154,"Labels"))</f>
        <v/>
      </c>
      <c r="L12" s="33" t="str">
        <f aca="false">IF($A12="","",SUMIFS('Expense Log'!$J$5:$J$154,'Expense Log'!$B$5:$B$154,$A12,'Expense Log'!$E$5:$E$154,"Shipping"))</f>
        <v/>
      </c>
      <c r="M12" s="33" t="str">
        <f aca="false">IF($A12="","",SUMIFS('Expense Log'!$J$5:$J$154,'Expense Log'!$B$5:$B$154,$A12,'Expense Log'!$E$5:$E$154,"Documentation"))</f>
        <v/>
      </c>
      <c r="N12" s="33" t="str">
        <f aca="false">IF($A12="","",SUMIFS('Expense Log'!$J$5:$J$154,'Expense Log'!$B$5:$B$154,$A12,'Expense Log'!$E$5:$E$154,"SDS"))</f>
        <v/>
      </c>
      <c r="O12" s="33" t="str">
        <f aca="false">IF($A12="","",SUMIFS('Expense Log'!$J$5:$J$154,'Expense Log'!$B$5:$B$154,$A12,'Expense Log'!$E$5:$E$154,"IFRA/Allergen"))</f>
        <v/>
      </c>
      <c r="P12" s="33" t="str">
        <f aca="false">IF($A12="","",SUMIFS('Expense Log'!$J$5:$J$154,'Expense Log'!$B$5:$B$154,$A12,'Expense Log'!$E$5:$E$154,"CPSR"))</f>
        <v/>
      </c>
      <c r="Q12" s="33" t="str">
        <f aca="false">IF($A12="","",SUMIFS('Expense Log'!$J$5:$J$154,'Expense Log'!$B$5:$B$154,$A12,'Expense Log'!$E$5:$E$154,"Compounding"))</f>
        <v/>
      </c>
      <c r="R12" s="33" t="str">
        <f aca="false">IF($A12="","",SUMIFS('Expense Log'!$J$5:$J$154,'Expense Log'!$B$5:$B$154,$A12,'Expense Log'!$E$5:$E$154,"External Perfumer"))</f>
        <v/>
      </c>
      <c r="S12" s="33" t="str">
        <f aca="false">IF($A12="","",SUMIFS('Expense Log'!$J$5:$J$154,'Expense Log'!$B$5:$B$154,$A12,'Expense Log'!$E$5:$E$154,"Payment Fees"))</f>
        <v/>
      </c>
      <c r="T12" s="33" t="str">
        <f aca="false">IF($A12="","",SUMIFS('Expense Log'!$J$5:$J$154,'Expense Log'!$B$5:$B$154,$A12,'Expense Log'!$E$5:$E$154,"Testing")+SUMIFS('Expense Log'!$J$5:$J$154,'Expense Log'!$B$5:$B$154,$A12,'Expense Log'!$E$5:$E$154,"Software")+SUMIFS('Expense Log'!$J$5:$J$154,'Expense Log'!$B$5:$B$154,$A12,'Expense Log'!$E$5:$E$154,"Other"))</f>
        <v/>
      </c>
      <c r="U12" s="33" t="str">
        <f aca="false">IF($A12="","",SUM($G12:$T12))</f>
        <v/>
      </c>
      <c r="V12" s="39" t="str">
        <f aca="false">IF($A12="","",SUMIFS('Iteration Tracker'!$T$5:$T$124,'Iteration Tracker'!$A$5:$A$124,$A12))</f>
        <v/>
      </c>
      <c r="W12" s="40"/>
      <c r="X12" s="33" t="str">
        <f aca="false">IF($A12="","",$V12*$W12)</f>
        <v/>
      </c>
      <c r="Y12" s="33" t="str">
        <f aca="false">IF($A12="","",$U12+$X12)</f>
        <v/>
      </c>
      <c r="Z12" s="33" t="str">
        <f aca="false">IF($A12="","",$D12-$U12)</f>
        <v/>
      </c>
      <c r="AA12" s="33" t="str">
        <f aca="false">IF($A12="","",$D12-$Y12)</f>
        <v/>
      </c>
      <c r="AB12" s="41" t="str">
        <f aca="false">IF(OR($A12="",$D12=0),"",$Z12/$D12)</f>
        <v/>
      </c>
      <c r="AC12" s="41" t="str">
        <f aca="false">IF(OR($A12="",$D12=0),"",$AA12/$D12)</f>
        <v/>
      </c>
      <c r="AD12" s="42" t="str">
        <f aca="false">IFERROR(IF($A12="","",$Z12/$V12),"")</f>
        <v/>
      </c>
    </row>
    <row r="13" customFormat="false" ht="18" hidden="false" customHeight="true" outlineLevel="0" collapsed="false">
      <c r="A13" s="30"/>
      <c r="B13" s="37" t="str">
        <f aca="false">IF($A13="","",IFERROR(INDEX('Fragrance Projects'!$C$5:$C$64,MATCH($A13,'Fragrance Projects'!$A$5:$A$64,0)),""))</f>
        <v/>
      </c>
      <c r="C13" s="37" t="str">
        <f aca="false">IF($A13="","",IFERROR(INDEX('Fragrance Projects'!$D$5:$D$64,MATCH($A13,'Fragrance Projects'!$A$5:$A$64,0)),""))</f>
        <v/>
      </c>
      <c r="D13" s="32"/>
      <c r="E13" s="33" t="str">
        <f aca="false">IF($A13="","",IFERROR(INDEX(Payments!$G$5:$G$64,MATCH($A13,Payments!$B$5:$B$64,0)),0)+IFERROR(INDEX(Payments!$K$5:$K$64,MATCH($A13,Payments!$B$5:$B$64,0)),0))</f>
        <v/>
      </c>
      <c r="F13" s="33" t="str">
        <f aca="false">IF($A13="","",$D13-$E13)</f>
        <v/>
      </c>
      <c r="G13" s="33" t="str">
        <f aca="false">IF($A13="","",SUMIFS('Expense Log'!$J$5:$J$154,'Expense Log'!$B$5:$B$154,$A13,'Expense Log'!$E$5:$E$154,"Raw Materials"))</f>
        <v/>
      </c>
      <c r="H13" s="33" t="str">
        <f aca="false">IF($A13="","",SUMIFS('Expense Log'!$J$5:$J$154,'Expense Log'!$B$5:$B$154,$A13,'Expense Log'!$E$5:$E$154,"Alcohol/Carrier"))</f>
        <v/>
      </c>
      <c r="I13" s="33" t="str">
        <f aca="false">IF($A13="","",SUMIFS('Expense Log'!$J$5:$J$154,'Expense Log'!$B$5:$B$154,$A13,'Expense Log'!$E$5:$E$154,"Bottles")+SUMIFS('Expense Log'!$J$5:$J$154,'Expense Log'!$B$5:$B$154,$A13,'Expense Log'!$E$5:$E$154,"Sample Vials"))</f>
        <v/>
      </c>
      <c r="J13" s="33" t="str">
        <f aca="false">IF($A13="","",SUMIFS('Expense Log'!$J$5:$J$154,'Expense Log'!$B$5:$B$154,$A13,'Expense Log'!$E$5:$E$154,"Packaging"))</f>
        <v/>
      </c>
      <c r="K13" s="33" t="str">
        <f aca="false">IF($A13="","",SUMIFS('Expense Log'!$J$5:$J$154,'Expense Log'!$B$5:$B$154,$A13,'Expense Log'!$E$5:$E$154,"Labels"))</f>
        <v/>
      </c>
      <c r="L13" s="33" t="str">
        <f aca="false">IF($A13="","",SUMIFS('Expense Log'!$J$5:$J$154,'Expense Log'!$B$5:$B$154,$A13,'Expense Log'!$E$5:$E$154,"Shipping"))</f>
        <v/>
      </c>
      <c r="M13" s="33" t="str">
        <f aca="false">IF($A13="","",SUMIFS('Expense Log'!$J$5:$J$154,'Expense Log'!$B$5:$B$154,$A13,'Expense Log'!$E$5:$E$154,"Documentation"))</f>
        <v/>
      </c>
      <c r="N13" s="33" t="str">
        <f aca="false">IF($A13="","",SUMIFS('Expense Log'!$J$5:$J$154,'Expense Log'!$B$5:$B$154,$A13,'Expense Log'!$E$5:$E$154,"SDS"))</f>
        <v/>
      </c>
      <c r="O13" s="33" t="str">
        <f aca="false">IF($A13="","",SUMIFS('Expense Log'!$J$5:$J$154,'Expense Log'!$B$5:$B$154,$A13,'Expense Log'!$E$5:$E$154,"IFRA/Allergen"))</f>
        <v/>
      </c>
      <c r="P13" s="33" t="str">
        <f aca="false">IF($A13="","",SUMIFS('Expense Log'!$J$5:$J$154,'Expense Log'!$B$5:$B$154,$A13,'Expense Log'!$E$5:$E$154,"CPSR"))</f>
        <v/>
      </c>
      <c r="Q13" s="33" t="str">
        <f aca="false">IF($A13="","",SUMIFS('Expense Log'!$J$5:$J$154,'Expense Log'!$B$5:$B$154,$A13,'Expense Log'!$E$5:$E$154,"Compounding"))</f>
        <v/>
      </c>
      <c r="R13" s="33" t="str">
        <f aca="false">IF($A13="","",SUMIFS('Expense Log'!$J$5:$J$154,'Expense Log'!$B$5:$B$154,$A13,'Expense Log'!$E$5:$E$154,"External Perfumer"))</f>
        <v/>
      </c>
      <c r="S13" s="33" t="str">
        <f aca="false">IF($A13="","",SUMIFS('Expense Log'!$J$5:$J$154,'Expense Log'!$B$5:$B$154,$A13,'Expense Log'!$E$5:$E$154,"Payment Fees"))</f>
        <v/>
      </c>
      <c r="T13" s="33" t="str">
        <f aca="false">IF($A13="","",SUMIFS('Expense Log'!$J$5:$J$154,'Expense Log'!$B$5:$B$154,$A13,'Expense Log'!$E$5:$E$154,"Testing")+SUMIFS('Expense Log'!$J$5:$J$154,'Expense Log'!$B$5:$B$154,$A13,'Expense Log'!$E$5:$E$154,"Software")+SUMIFS('Expense Log'!$J$5:$J$154,'Expense Log'!$B$5:$B$154,$A13,'Expense Log'!$E$5:$E$154,"Other"))</f>
        <v/>
      </c>
      <c r="U13" s="33" t="str">
        <f aca="false">IF($A13="","",SUM($G13:$T13))</f>
        <v/>
      </c>
      <c r="V13" s="39" t="str">
        <f aca="false">IF($A13="","",SUMIFS('Iteration Tracker'!$T$5:$T$124,'Iteration Tracker'!$A$5:$A$124,$A13))</f>
        <v/>
      </c>
      <c r="W13" s="40"/>
      <c r="X13" s="33" t="str">
        <f aca="false">IF($A13="","",$V13*$W13)</f>
        <v/>
      </c>
      <c r="Y13" s="33" t="str">
        <f aca="false">IF($A13="","",$U13+$X13)</f>
        <v/>
      </c>
      <c r="Z13" s="33" t="str">
        <f aca="false">IF($A13="","",$D13-$U13)</f>
        <v/>
      </c>
      <c r="AA13" s="33" t="str">
        <f aca="false">IF($A13="","",$D13-$Y13)</f>
        <v/>
      </c>
      <c r="AB13" s="41" t="str">
        <f aca="false">IF(OR($A13="",$D13=0),"",$Z13/$D13)</f>
        <v/>
      </c>
      <c r="AC13" s="41" t="str">
        <f aca="false">IF(OR($A13="",$D13=0),"",$AA13/$D13)</f>
        <v/>
      </c>
      <c r="AD13" s="42" t="str">
        <f aca="false">IFERROR(IF($A13="","",$Z13/$V13),"")</f>
        <v/>
      </c>
    </row>
    <row r="14" customFormat="false" ht="18" hidden="false" customHeight="true" outlineLevel="0" collapsed="false">
      <c r="A14" s="30"/>
      <c r="B14" s="37" t="str">
        <f aca="false">IF($A14="","",IFERROR(INDEX('Fragrance Projects'!$C$5:$C$64,MATCH($A14,'Fragrance Projects'!$A$5:$A$64,0)),""))</f>
        <v/>
      </c>
      <c r="C14" s="37" t="str">
        <f aca="false">IF($A14="","",IFERROR(INDEX('Fragrance Projects'!$D$5:$D$64,MATCH($A14,'Fragrance Projects'!$A$5:$A$64,0)),""))</f>
        <v/>
      </c>
      <c r="D14" s="32"/>
      <c r="E14" s="33" t="str">
        <f aca="false">IF($A14="","",IFERROR(INDEX(Payments!$G$5:$G$64,MATCH($A14,Payments!$B$5:$B$64,0)),0)+IFERROR(INDEX(Payments!$K$5:$K$64,MATCH($A14,Payments!$B$5:$B$64,0)),0))</f>
        <v/>
      </c>
      <c r="F14" s="33" t="str">
        <f aca="false">IF($A14="","",$D14-$E14)</f>
        <v/>
      </c>
      <c r="G14" s="33" t="str">
        <f aca="false">IF($A14="","",SUMIFS('Expense Log'!$J$5:$J$154,'Expense Log'!$B$5:$B$154,$A14,'Expense Log'!$E$5:$E$154,"Raw Materials"))</f>
        <v/>
      </c>
      <c r="H14" s="33" t="str">
        <f aca="false">IF($A14="","",SUMIFS('Expense Log'!$J$5:$J$154,'Expense Log'!$B$5:$B$154,$A14,'Expense Log'!$E$5:$E$154,"Alcohol/Carrier"))</f>
        <v/>
      </c>
      <c r="I14" s="33" t="str">
        <f aca="false">IF($A14="","",SUMIFS('Expense Log'!$J$5:$J$154,'Expense Log'!$B$5:$B$154,$A14,'Expense Log'!$E$5:$E$154,"Bottles")+SUMIFS('Expense Log'!$J$5:$J$154,'Expense Log'!$B$5:$B$154,$A14,'Expense Log'!$E$5:$E$154,"Sample Vials"))</f>
        <v/>
      </c>
      <c r="J14" s="33" t="str">
        <f aca="false">IF($A14="","",SUMIFS('Expense Log'!$J$5:$J$154,'Expense Log'!$B$5:$B$154,$A14,'Expense Log'!$E$5:$E$154,"Packaging"))</f>
        <v/>
      </c>
      <c r="K14" s="33" t="str">
        <f aca="false">IF($A14="","",SUMIFS('Expense Log'!$J$5:$J$154,'Expense Log'!$B$5:$B$154,$A14,'Expense Log'!$E$5:$E$154,"Labels"))</f>
        <v/>
      </c>
      <c r="L14" s="33" t="str">
        <f aca="false">IF($A14="","",SUMIFS('Expense Log'!$J$5:$J$154,'Expense Log'!$B$5:$B$154,$A14,'Expense Log'!$E$5:$E$154,"Shipping"))</f>
        <v/>
      </c>
      <c r="M14" s="33" t="str">
        <f aca="false">IF($A14="","",SUMIFS('Expense Log'!$J$5:$J$154,'Expense Log'!$B$5:$B$154,$A14,'Expense Log'!$E$5:$E$154,"Documentation"))</f>
        <v/>
      </c>
      <c r="N14" s="33" t="str">
        <f aca="false">IF($A14="","",SUMIFS('Expense Log'!$J$5:$J$154,'Expense Log'!$B$5:$B$154,$A14,'Expense Log'!$E$5:$E$154,"SDS"))</f>
        <v/>
      </c>
      <c r="O14" s="33" t="str">
        <f aca="false">IF($A14="","",SUMIFS('Expense Log'!$J$5:$J$154,'Expense Log'!$B$5:$B$154,$A14,'Expense Log'!$E$5:$E$154,"IFRA/Allergen"))</f>
        <v/>
      </c>
      <c r="P14" s="33" t="str">
        <f aca="false">IF($A14="","",SUMIFS('Expense Log'!$J$5:$J$154,'Expense Log'!$B$5:$B$154,$A14,'Expense Log'!$E$5:$E$154,"CPSR"))</f>
        <v/>
      </c>
      <c r="Q14" s="33" t="str">
        <f aca="false">IF($A14="","",SUMIFS('Expense Log'!$J$5:$J$154,'Expense Log'!$B$5:$B$154,$A14,'Expense Log'!$E$5:$E$154,"Compounding"))</f>
        <v/>
      </c>
      <c r="R14" s="33" t="str">
        <f aca="false">IF($A14="","",SUMIFS('Expense Log'!$J$5:$J$154,'Expense Log'!$B$5:$B$154,$A14,'Expense Log'!$E$5:$E$154,"External Perfumer"))</f>
        <v/>
      </c>
      <c r="S14" s="33" t="str">
        <f aca="false">IF($A14="","",SUMIFS('Expense Log'!$J$5:$J$154,'Expense Log'!$B$5:$B$154,$A14,'Expense Log'!$E$5:$E$154,"Payment Fees"))</f>
        <v/>
      </c>
      <c r="T14" s="33" t="str">
        <f aca="false">IF($A14="","",SUMIFS('Expense Log'!$J$5:$J$154,'Expense Log'!$B$5:$B$154,$A14,'Expense Log'!$E$5:$E$154,"Testing")+SUMIFS('Expense Log'!$J$5:$J$154,'Expense Log'!$B$5:$B$154,$A14,'Expense Log'!$E$5:$E$154,"Software")+SUMIFS('Expense Log'!$J$5:$J$154,'Expense Log'!$B$5:$B$154,$A14,'Expense Log'!$E$5:$E$154,"Other"))</f>
        <v/>
      </c>
      <c r="U14" s="33" t="str">
        <f aca="false">IF($A14="","",SUM($G14:$T14))</f>
        <v/>
      </c>
      <c r="V14" s="39" t="str">
        <f aca="false">IF($A14="","",SUMIFS('Iteration Tracker'!$T$5:$T$124,'Iteration Tracker'!$A$5:$A$124,$A14))</f>
        <v/>
      </c>
      <c r="W14" s="40"/>
      <c r="X14" s="33" t="str">
        <f aca="false">IF($A14="","",$V14*$W14)</f>
        <v/>
      </c>
      <c r="Y14" s="33" t="str">
        <f aca="false">IF($A14="","",$U14+$X14)</f>
        <v/>
      </c>
      <c r="Z14" s="33" t="str">
        <f aca="false">IF($A14="","",$D14-$U14)</f>
        <v/>
      </c>
      <c r="AA14" s="33" t="str">
        <f aca="false">IF($A14="","",$D14-$Y14)</f>
        <v/>
      </c>
      <c r="AB14" s="41" t="str">
        <f aca="false">IF(OR($A14="",$D14=0),"",$Z14/$D14)</f>
        <v/>
      </c>
      <c r="AC14" s="41" t="str">
        <f aca="false">IF(OR($A14="",$D14=0),"",$AA14/$D14)</f>
        <v/>
      </c>
      <c r="AD14" s="42" t="str">
        <f aca="false">IFERROR(IF($A14="","",$Z14/$V14),"")</f>
        <v/>
      </c>
    </row>
    <row r="15" customFormat="false" ht="18" hidden="false" customHeight="true" outlineLevel="0" collapsed="false">
      <c r="A15" s="30"/>
      <c r="B15" s="37" t="str">
        <f aca="false">IF($A15="","",IFERROR(INDEX('Fragrance Projects'!$C$5:$C$64,MATCH($A15,'Fragrance Projects'!$A$5:$A$64,0)),""))</f>
        <v/>
      </c>
      <c r="C15" s="37" t="str">
        <f aca="false">IF($A15="","",IFERROR(INDEX('Fragrance Projects'!$D$5:$D$64,MATCH($A15,'Fragrance Projects'!$A$5:$A$64,0)),""))</f>
        <v/>
      </c>
      <c r="D15" s="32"/>
      <c r="E15" s="33" t="str">
        <f aca="false">IF($A15="","",IFERROR(INDEX(Payments!$G$5:$G$64,MATCH($A15,Payments!$B$5:$B$64,0)),0)+IFERROR(INDEX(Payments!$K$5:$K$64,MATCH($A15,Payments!$B$5:$B$64,0)),0))</f>
        <v/>
      </c>
      <c r="F15" s="33" t="str">
        <f aca="false">IF($A15="","",$D15-$E15)</f>
        <v/>
      </c>
      <c r="G15" s="33" t="str">
        <f aca="false">IF($A15="","",SUMIFS('Expense Log'!$J$5:$J$154,'Expense Log'!$B$5:$B$154,$A15,'Expense Log'!$E$5:$E$154,"Raw Materials"))</f>
        <v/>
      </c>
      <c r="H15" s="33" t="str">
        <f aca="false">IF($A15="","",SUMIFS('Expense Log'!$J$5:$J$154,'Expense Log'!$B$5:$B$154,$A15,'Expense Log'!$E$5:$E$154,"Alcohol/Carrier"))</f>
        <v/>
      </c>
      <c r="I15" s="33" t="str">
        <f aca="false">IF($A15="","",SUMIFS('Expense Log'!$J$5:$J$154,'Expense Log'!$B$5:$B$154,$A15,'Expense Log'!$E$5:$E$154,"Bottles")+SUMIFS('Expense Log'!$J$5:$J$154,'Expense Log'!$B$5:$B$154,$A15,'Expense Log'!$E$5:$E$154,"Sample Vials"))</f>
        <v/>
      </c>
      <c r="J15" s="33" t="str">
        <f aca="false">IF($A15="","",SUMIFS('Expense Log'!$J$5:$J$154,'Expense Log'!$B$5:$B$154,$A15,'Expense Log'!$E$5:$E$154,"Packaging"))</f>
        <v/>
      </c>
      <c r="K15" s="33" t="str">
        <f aca="false">IF($A15="","",SUMIFS('Expense Log'!$J$5:$J$154,'Expense Log'!$B$5:$B$154,$A15,'Expense Log'!$E$5:$E$154,"Labels"))</f>
        <v/>
      </c>
      <c r="L15" s="33" t="str">
        <f aca="false">IF($A15="","",SUMIFS('Expense Log'!$J$5:$J$154,'Expense Log'!$B$5:$B$154,$A15,'Expense Log'!$E$5:$E$154,"Shipping"))</f>
        <v/>
      </c>
      <c r="M15" s="33" t="str">
        <f aca="false">IF($A15="","",SUMIFS('Expense Log'!$J$5:$J$154,'Expense Log'!$B$5:$B$154,$A15,'Expense Log'!$E$5:$E$154,"Documentation"))</f>
        <v/>
      </c>
      <c r="N15" s="33" t="str">
        <f aca="false">IF($A15="","",SUMIFS('Expense Log'!$J$5:$J$154,'Expense Log'!$B$5:$B$154,$A15,'Expense Log'!$E$5:$E$154,"SDS"))</f>
        <v/>
      </c>
      <c r="O15" s="33" t="str">
        <f aca="false">IF($A15="","",SUMIFS('Expense Log'!$J$5:$J$154,'Expense Log'!$B$5:$B$154,$A15,'Expense Log'!$E$5:$E$154,"IFRA/Allergen"))</f>
        <v/>
      </c>
      <c r="P15" s="33" t="str">
        <f aca="false">IF($A15="","",SUMIFS('Expense Log'!$J$5:$J$154,'Expense Log'!$B$5:$B$154,$A15,'Expense Log'!$E$5:$E$154,"CPSR"))</f>
        <v/>
      </c>
      <c r="Q15" s="33" t="str">
        <f aca="false">IF($A15="","",SUMIFS('Expense Log'!$J$5:$J$154,'Expense Log'!$B$5:$B$154,$A15,'Expense Log'!$E$5:$E$154,"Compounding"))</f>
        <v/>
      </c>
      <c r="R15" s="33" t="str">
        <f aca="false">IF($A15="","",SUMIFS('Expense Log'!$J$5:$J$154,'Expense Log'!$B$5:$B$154,$A15,'Expense Log'!$E$5:$E$154,"External Perfumer"))</f>
        <v/>
      </c>
      <c r="S15" s="33" t="str">
        <f aca="false">IF($A15="","",SUMIFS('Expense Log'!$J$5:$J$154,'Expense Log'!$B$5:$B$154,$A15,'Expense Log'!$E$5:$E$154,"Payment Fees"))</f>
        <v/>
      </c>
      <c r="T15" s="33" t="str">
        <f aca="false">IF($A15="","",SUMIFS('Expense Log'!$J$5:$J$154,'Expense Log'!$B$5:$B$154,$A15,'Expense Log'!$E$5:$E$154,"Testing")+SUMIFS('Expense Log'!$J$5:$J$154,'Expense Log'!$B$5:$B$154,$A15,'Expense Log'!$E$5:$E$154,"Software")+SUMIFS('Expense Log'!$J$5:$J$154,'Expense Log'!$B$5:$B$154,$A15,'Expense Log'!$E$5:$E$154,"Other"))</f>
        <v/>
      </c>
      <c r="U15" s="33" t="str">
        <f aca="false">IF($A15="","",SUM($G15:$T15))</f>
        <v/>
      </c>
      <c r="V15" s="39" t="str">
        <f aca="false">IF($A15="","",SUMIFS('Iteration Tracker'!$T$5:$T$124,'Iteration Tracker'!$A$5:$A$124,$A15))</f>
        <v/>
      </c>
      <c r="W15" s="40"/>
      <c r="X15" s="33" t="str">
        <f aca="false">IF($A15="","",$V15*$W15)</f>
        <v/>
      </c>
      <c r="Y15" s="33" t="str">
        <f aca="false">IF($A15="","",$U15+$X15)</f>
        <v/>
      </c>
      <c r="Z15" s="33" t="str">
        <f aca="false">IF($A15="","",$D15-$U15)</f>
        <v/>
      </c>
      <c r="AA15" s="33" t="str">
        <f aca="false">IF($A15="","",$D15-$Y15)</f>
        <v/>
      </c>
      <c r="AB15" s="41" t="str">
        <f aca="false">IF(OR($A15="",$D15=0),"",$Z15/$D15)</f>
        <v/>
      </c>
      <c r="AC15" s="41" t="str">
        <f aca="false">IF(OR($A15="",$D15=0),"",$AA15/$D15)</f>
        <v/>
      </c>
      <c r="AD15" s="42" t="str">
        <f aca="false">IFERROR(IF($A15="","",$Z15/$V15),"")</f>
        <v/>
      </c>
    </row>
    <row r="16" customFormat="false" ht="18" hidden="false" customHeight="true" outlineLevel="0" collapsed="false">
      <c r="A16" s="30"/>
      <c r="B16" s="37" t="str">
        <f aca="false">IF($A16="","",IFERROR(INDEX('Fragrance Projects'!$C$5:$C$64,MATCH($A16,'Fragrance Projects'!$A$5:$A$64,0)),""))</f>
        <v/>
      </c>
      <c r="C16" s="37" t="str">
        <f aca="false">IF($A16="","",IFERROR(INDEX('Fragrance Projects'!$D$5:$D$64,MATCH($A16,'Fragrance Projects'!$A$5:$A$64,0)),""))</f>
        <v/>
      </c>
      <c r="D16" s="32"/>
      <c r="E16" s="33" t="str">
        <f aca="false">IF($A16="","",IFERROR(INDEX(Payments!$G$5:$G$64,MATCH($A16,Payments!$B$5:$B$64,0)),0)+IFERROR(INDEX(Payments!$K$5:$K$64,MATCH($A16,Payments!$B$5:$B$64,0)),0))</f>
        <v/>
      </c>
      <c r="F16" s="33" t="str">
        <f aca="false">IF($A16="","",$D16-$E16)</f>
        <v/>
      </c>
      <c r="G16" s="33" t="str">
        <f aca="false">IF($A16="","",SUMIFS('Expense Log'!$J$5:$J$154,'Expense Log'!$B$5:$B$154,$A16,'Expense Log'!$E$5:$E$154,"Raw Materials"))</f>
        <v/>
      </c>
      <c r="H16" s="33" t="str">
        <f aca="false">IF($A16="","",SUMIFS('Expense Log'!$J$5:$J$154,'Expense Log'!$B$5:$B$154,$A16,'Expense Log'!$E$5:$E$154,"Alcohol/Carrier"))</f>
        <v/>
      </c>
      <c r="I16" s="33" t="str">
        <f aca="false">IF($A16="","",SUMIFS('Expense Log'!$J$5:$J$154,'Expense Log'!$B$5:$B$154,$A16,'Expense Log'!$E$5:$E$154,"Bottles")+SUMIFS('Expense Log'!$J$5:$J$154,'Expense Log'!$B$5:$B$154,$A16,'Expense Log'!$E$5:$E$154,"Sample Vials"))</f>
        <v/>
      </c>
      <c r="J16" s="33" t="str">
        <f aca="false">IF($A16="","",SUMIFS('Expense Log'!$J$5:$J$154,'Expense Log'!$B$5:$B$154,$A16,'Expense Log'!$E$5:$E$154,"Packaging"))</f>
        <v/>
      </c>
      <c r="K16" s="33" t="str">
        <f aca="false">IF($A16="","",SUMIFS('Expense Log'!$J$5:$J$154,'Expense Log'!$B$5:$B$154,$A16,'Expense Log'!$E$5:$E$154,"Labels"))</f>
        <v/>
      </c>
      <c r="L16" s="33" t="str">
        <f aca="false">IF($A16="","",SUMIFS('Expense Log'!$J$5:$J$154,'Expense Log'!$B$5:$B$154,$A16,'Expense Log'!$E$5:$E$154,"Shipping"))</f>
        <v/>
      </c>
      <c r="M16" s="33" t="str">
        <f aca="false">IF($A16="","",SUMIFS('Expense Log'!$J$5:$J$154,'Expense Log'!$B$5:$B$154,$A16,'Expense Log'!$E$5:$E$154,"Documentation"))</f>
        <v/>
      </c>
      <c r="N16" s="33" t="str">
        <f aca="false">IF($A16="","",SUMIFS('Expense Log'!$J$5:$J$154,'Expense Log'!$B$5:$B$154,$A16,'Expense Log'!$E$5:$E$154,"SDS"))</f>
        <v/>
      </c>
      <c r="O16" s="33" t="str">
        <f aca="false">IF($A16="","",SUMIFS('Expense Log'!$J$5:$J$154,'Expense Log'!$B$5:$B$154,$A16,'Expense Log'!$E$5:$E$154,"IFRA/Allergen"))</f>
        <v/>
      </c>
      <c r="P16" s="33" t="str">
        <f aca="false">IF($A16="","",SUMIFS('Expense Log'!$J$5:$J$154,'Expense Log'!$B$5:$B$154,$A16,'Expense Log'!$E$5:$E$154,"CPSR"))</f>
        <v/>
      </c>
      <c r="Q16" s="33" t="str">
        <f aca="false">IF($A16="","",SUMIFS('Expense Log'!$J$5:$J$154,'Expense Log'!$B$5:$B$154,$A16,'Expense Log'!$E$5:$E$154,"Compounding"))</f>
        <v/>
      </c>
      <c r="R16" s="33" t="str">
        <f aca="false">IF($A16="","",SUMIFS('Expense Log'!$J$5:$J$154,'Expense Log'!$B$5:$B$154,$A16,'Expense Log'!$E$5:$E$154,"External Perfumer"))</f>
        <v/>
      </c>
      <c r="S16" s="33" t="str">
        <f aca="false">IF($A16="","",SUMIFS('Expense Log'!$J$5:$J$154,'Expense Log'!$B$5:$B$154,$A16,'Expense Log'!$E$5:$E$154,"Payment Fees"))</f>
        <v/>
      </c>
      <c r="T16" s="33" t="str">
        <f aca="false">IF($A16="","",SUMIFS('Expense Log'!$J$5:$J$154,'Expense Log'!$B$5:$B$154,$A16,'Expense Log'!$E$5:$E$154,"Testing")+SUMIFS('Expense Log'!$J$5:$J$154,'Expense Log'!$B$5:$B$154,$A16,'Expense Log'!$E$5:$E$154,"Software")+SUMIFS('Expense Log'!$J$5:$J$154,'Expense Log'!$B$5:$B$154,$A16,'Expense Log'!$E$5:$E$154,"Other"))</f>
        <v/>
      </c>
      <c r="U16" s="33" t="str">
        <f aca="false">IF($A16="","",SUM($G16:$T16))</f>
        <v/>
      </c>
      <c r="V16" s="39" t="str">
        <f aca="false">IF($A16="","",SUMIFS('Iteration Tracker'!$T$5:$T$124,'Iteration Tracker'!$A$5:$A$124,$A16))</f>
        <v/>
      </c>
      <c r="W16" s="40"/>
      <c r="X16" s="33" t="str">
        <f aca="false">IF($A16="","",$V16*$W16)</f>
        <v/>
      </c>
      <c r="Y16" s="33" t="str">
        <f aca="false">IF($A16="","",$U16+$X16)</f>
        <v/>
      </c>
      <c r="Z16" s="33" t="str">
        <f aca="false">IF($A16="","",$D16-$U16)</f>
        <v/>
      </c>
      <c r="AA16" s="33" t="str">
        <f aca="false">IF($A16="","",$D16-$Y16)</f>
        <v/>
      </c>
      <c r="AB16" s="41" t="str">
        <f aca="false">IF(OR($A16="",$D16=0),"",$Z16/$D16)</f>
        <v/>
      </c>
      <c r="AC16" s="41" t="str">
        <f aca="false">IF(OR($A16="",$D16=0),"",$AA16/$D16)</f>
        <v/>
      </c>
      <c r="AD16" s="42" t="str">
        <f aca="false">IFERROR(IF($A16="","",$Z16/$V16),"")</f>
        <v/>
      </c>
    </row>
    <row r="17" customFormat="false" ht="18" hidden="false" customHeight="true" outlineLevel="0" collapsed="false">
      <c r="A17" s="30"/>
      <c r="B17" s="37" t="str">
        <f aca="false">IF($A17="","",IFERROR(INDEX('Fragrance Projects'!$C$5:$C$64,MATCH($A17,'Fragrance Projects'!$A$5:$A$64,0)),""))</f>
        <v/>
      </c>
      <c r="C17" s="37" t="str">
        <f aca="false">IF($A17="","",IFERROR(INDEX('Fragrance Projects'!$D$5:$D$64,MATCH($A17,'Fragrance Projects'!$A$5:$A$64,0)),""))</f>
        <v/>
      </c>
      <c r="D17" s="32"/>
      <c r="E17" s="33" t="str">
        <f aca="false">IF($A17="","",IFERROR(INDEX(Payments!$G$5:$G$64,MATCH($A17,Payments!$B$5:$B$64,0)),0)+IFERROR(INDEX(Payments!$K$5:$K$64,MATCH($A17,Payments!$B$5:$B$64,0)),0))</f>
        <v/>
      </c>
      <c r="F17" s="33" t="str">
        <f aca="false">IF($A17="","",$D17-$E17)</f>
        <v/>
      </c>
      <c r="G17" s="33" t="str">
        <f aca="false">IF($A17="","",SUMIFS('Expense Log'!$J$5:$J$154,'Expense Log'!$B$5:$B$154,$A17,'Expense Log'!$E$5:$E$154,"Raw Materials"))</f>
        <v/>
      </c>
      <c r="H17" s="33" t="str">
        <f aca="false">IF($A17="","",SUMIFS('Expense Log'!$J$5:$J$154,'Expense Log'!$B$5:$B$154,$A17,'Expense Log'!$E$5:$E$154,"Alcohol/Carrier"))</f>
        <v/>
      </c>
      <c r="I17" s="33" t="str">
        <f aca="false">IF($A17="","",SUMIFS('Expense Log'!$J$5:$J$154,'Expense Log'!$B$5:$B$154,$A17,'Expense Log'!$E$5:$E$154,"Bottles")+SUMIFS('Expense Log'!$J$5:$J$154,'Expense Log'!$B$5:$B$154,$A17,'Expense Log'!$E$5:$E$154,"Sample Vials"))</f>
        <v/>
      </c>
      <c r="J17" s="33" t="str">
        <f aca="false">IF($A17="","",SUMIFS('Expense Log'!$J$5:$J$154,'Expense Log'!$B$5:$B$154,$A17,'Expense Log'!$E$5:$E$154,"Packaging"))</f>
        <v/>
      </c>
      <c r="K17" s="33" t="str">
        <f aca="false">IF($A17="","",SUMIFS('Expense Log'!$J$5:$J$154,'Expense Log'!$B$5:$B$154,$A17,'Expense Log'!$E$5:$E$154,"Labels"))</f>
        <v/>
      </c>
      <c r="L17" s="33" t="str">
        <f aca="false">IF($A17="","",SUMIFS('Expense Log'!$J$5:$J$154,'Expense Log'!$B$5:$B$154,$A17,'Expense Log'!$E$5:$E$154,"Shipping"))</f>
        <v/>
      </c>
      <c r="M17" s="33" t="str">
        <f aca="false">IF($A17="","",SUMIFS('Expense Log'!$J$5:$J$154,'Expense Log'!$B$5:$B$154,$A17,'Expense Log'!$E$5:$E$154,"Documentation"))</f>
        <v/>
      </c>
      <c r="N17" s="33" t="str">
        <f aca="false">IF($A17="","",SUMIFS('Expense Log'!$J$5:$J$154,'Expense Log'!$B$5:$B$154,$A17,'Expense Log'!$E$5:$E$154,"SDS"))</f>
        <v/>
      </c>
      <c r="O17" s="33" t="str">
        <f aca="false">IF($A17="","",SUMIFS('Expense Log'!$J$5:$J$154,'Expense Log'!$B$5:$B$154,$A17,'Expense Log'!$E$5:$E$154,"IFRA/Allergen"))</f>
        <v/>
      </c>
      <c r="P17" s="33" t="str">
        <f aca="false">IF($A17="","",SUMIFS('Expense Log'!$J$5:$J$154,'Expense Log'!$B$5:$B$154,$A17,'Expense Log'!$E$5:$E$154,"CPSR"))</f>
        <v/>
      </c>
      <c r="Q17" s="33" t="str">
        <f aca="false">IF($A17="","",SUMIFS('Expense Log'!$J$5:$J$154,'Expense Log'!$B$5:$B$154,$A17,'Expense Log'!$E$5:$E$154,"Compounding"))</f>
        <v/>
      </c>
      <c r="R17" s="33" t="str">
        <f aca="false">IF($A17="","",SUMIFS('Expense Log'!$J$5:$J$154,'Expense Log'!$B$5:$B$154,$A17,'Expense Log'!$E$5:$E$154,"External Perfumer"))</f>
        <v/>
      </c>
      <c r="S17" s="33" t="str">
        <f aca="false">IF($A17="","",SUMIFS('Expense Log'!$J$5:$J$154,'Expense Log'!$B$5:$B$154,$A17,'Expense Log'!$E$5:$E$154,"Payment Fees"))</f>
        <v/>
      </c>
      <c r="T17" s="33" t="str">
        <f aca="false">IF($A17="","",SUMIFS('Expense Log'!$J$5:$J$154,'Expense Log'!$B$5:$B$154,$A17,'Expense Log'!$E$5:$E$154,"Testing")+SUMIFS('Expense Log'!$J$5:$J$154,'Expense Log'!$B$5:$B$154,$A17,'Expense Log'!$E$5:$E$154,"Software")+SUMIFS('Expense Log'!$J$5:$J$154,'Expense Log'!$B$5:$B$154,$A17,'Expense Log'!$E$5:$E$154,"Other"))</f>
        <v/>
      </c>
      <c r="U17" s="33" t="str">
        <f aca="false">IF($A17="","",SUM($G17:$T17))</f>
        <v/>
      </c>
      <c r="V17" s="39" t="str">
        <f aca="false">IF($A17="","",SUMIFS('Iteration Tracker'!$T$5:$T$124,'Iteration Tracker'!$A$5:$A$124,$A17))</f>
        <v/>
      </c>
      <c r="W17" s="40"/>
      <c r="X17" s="33" t="str">
        <f aca="false">IF($A17="","",$V17*$W17)</f>
        <v/>
      </c>
      <c r="Y17" s="33" t="str">
        <f aca="false">IF($A17="","",$U17+$X17)</f>
        <v/>
      </c>
      <c r="Z17" s="33" t="str">
        <f aca="false">IF($A17="","",$D17-$U17)</f>
        <v/>
      </c>
      <c r="AA17" s="33" t="str">
        <f aca="false">IF($A17="","",$D17-$Y17)</f>
        <v/>
      </c>
      <c r="AB17" s="41" t="str">
        <f aca="false">IF(OR($A17="",$D17=0),"",$Z17/$D17)</f>
        <v/>
      </c>
      <c r="AC17" s="41" t="str">
        <f aca="false">IF(OR($A17="",$D17=0),"",$AA17/$D17)</f>
        <v/>
      </c>
      <c r="AD17" s="42" t="str">
        <f aca="false">IFERROR(IF($A17="","",$Z17/$V17),"")</f>
        <v/>
      </c>
    </row>
    <row r="18" customFormat="false" ht="18" hidden="false" customHeight="true" outlineLevel="0" collapsed="false">
      <c r="A18" s="30"/>
      <c r="B18" s="37" t="str">
        <f aca="false">IF($A18="","",IFERROR(INDEX('Fragrance Projects'!$C$5:$C$64,MATCH($A18,'Fragrance Projects'!$A$5:$A$64,0)),""))</f>
        <v/>
      </c>
      <c r="C18" s="37" t="str">
        <f aca="false">IF($A18="","",IFERROR(INDEX('Fragrance Projects'!$D$5:$D$64,MATCH($A18,'Fragrance Projects'!$A$5:$A$64,0)),""))</f>
        <v/>
      </c>
      <c r="D18" s="32"/>
      <c r="E18" s="33" t="str">
        <f aca="false">IF($A18="","",IFERROR(INDEX(Payments!$G$5:$G$64,MATCH($A18,Payments!$B$5:$B$64,0)),0)+IFERROR(INDEX(Payments!$K$5:$K$64,MATCH($A18,Payments!$B$5:$B$64,0)),0))</f>
        <v/>
      </c>
      <c r="F18" s="33" t="str">
        <f aca="false">IF($A18="","",$D18-$E18)</f>
        <v/>
      </c>
      <c r="G18" s="33" t="str">
        <f aca="false">IF($A18="","",SUMIFS('Expense Log'!$J$5:$J$154,'Expense Log'!$B$5:$B$154,$A18,'Expense Log'!$E$5:$E$154,"Raw Materials"))</f>
        <v/>
      </c>
      <c r="H18" s="33" t="str">
        <f aca="false">IF($A18="","",SUMIFS('Expense Log'!$J$5:$J$154,'Expense Log'!$B$5:$B$154,$A18,'Expense Log'!$E$5:$E$154,"Alcohol/Carrier"))</f>
        <v/>
      </c>
      <c r="I18" s="33" t="str">
        <f aca="false">IF($A18="","",SUMIFS('Expense Log'!$J$5:$J$154,'Expense Log'!$B$5:$B$154,$A18,'Expense Log'!$E$5:$E$154,"Bottles")+SUMIFS('Expense Log'!$J$5:$J$154,'Expense Log'!$B$5:$B$154,$A18,'Expense Log'!$E$5:$E$154,"Sample Vials"))</f>
        <v/>
      </c>
      <c r="J18" s="33" t="str">
        <f aca="false">IF($A18="","",SUMIFS('Expense Log'!$J$5:$J$154,'Expense Log'!$B$5:$B$154,$A18,'Expense Log'!$E$5:$E$154,"Packaging"))</f>
        <v/>
      </c>
      <c r="K18" s="33" t="str">
        <f aca="false">IF($A18="","",SUMIFS('Expense Log'!$J$5:$J$154,'Expense Log'!$B$5:$B$154,$A18,'Expense Log'!$E$5:$E$154,"Labels"))</f>
        <v/>
      </c>
      <c r="L18" s="33" t="str">
        <f aca="false">IF($A18="","",SUMIFS('Expense Log'!$J$5:$J$154,'Expense Log'!$B$5:$B$154,$A18,'Expense Log'!$E$5:$E$154,"Shipping"))</f>
        <v/>
      </c>
      <c r="M18" s="33" t="str">
        <f aca="false">IF($A18="","",SUMIFS('Expense Log'!$J$5:$J$154,'Expense Log'!$B$5:$B$154,$A18,'Expense Log'!$E$5:$E$154,"Documentation"))</f>
        <v/>
      </c>
      <c r="N18" s="33" t="str">
        <f aca="false">IF($A18="","",SUMIFS('Expense Log'!$J$5:$J$154,'Expense Log'!$B$5:$B$154,$A18,'Expense Log'!$E$5:$E$154,"SDS"))</f>
        <v/>
      </c>
      <c r="O18" s="33" t="str">
        <f aca="false">IF($A18="","",SUMIFS('Expense Log'!$J$5:$J$154,'Expense Log'!$B$5:$B$154,$A18,'Expense Log'!$E$5:$E$154,"IFRA/Allergen"))</f>
        <v/>
      </c>
      <c r="P18" s="33" t="str">
        <f aca="false">IF($A18="","",SUMIFS('Expense Log'!$J$5:$J$154,'Expense Log'!$B$5:$B$154,$A18,'Expense Log'!$E$5:$E$154,"CPSR"))</f>
        <v/>
      </c>
      <c r="Q18" s="33" t="str">
        <f aca="false">IF($A18="","",SUMIFS('Expense Log'!$J$5:$J$154,'Expense Log'!$B$5:$B$154,$A18,'Expense Log'!$E$5:$E$154,"Compounding"))</f>
        <v/>
      </c>
      <c r="R18" s="33" t="str">
        <f aca="false">IF($A18="","",SUMIFS('Expense Log'!$J$5:$J$154,'Expense Log'!$B$5:$B$154,$A18,'Expense Log'!$E$5:$E$154,"External Perfumer"))</f>
        <v/>
      </c>
      <c r="S18" s="33" t="str">
        <f aca="false">IF($A18="","",SUMIFS('Expense Log'!$J$5:$J$154,'Expense Log'!$B$5:$B$154,$A18,'Expense Log'!$E$5:$E$154,"Payment Fees"))</f>
        <v/>
      </c>
      <c r="T18" s="33" t="str">
        <f aca="false">IF($A18="","",SUMIFS('Expense Log'!$J$5:$J$154,'Expense Log'!$B$5:$B$154,$A18,'Expense Log'!$E$5:$E$154,"Testing")+SUMIFS('Expense Log'!$J$5:$J$154,'Expense Log'!$B$5:$B$154,$A18,'Expense Log'!$E$5:$E$154,"Software")+SUMIFS('Expense Log'!$J$5:$J$154,'Expense Log'!$B$5:$B$154,$A18,'Expense Log'!$E$5:$E$154,"Other"))</f>
        <v/>
      </c>
      <c r="U18" s="33" t="str">
        <f aca="false">IF($A18="","",SUM($G18:$T18))</f>
        <v/>
      </c>
      <c r="V18" s="39" t="str">
        <f aca="false">IF($A18="","",SUMIFS('Iteration Tracker'!$T$5:$T$124,'Iteration Tracker'!$A$5:$A$124,$A18))</f>
        <v/>
      </c>
      <c r="W18" s="40"/>
      <c r="X18" s="33" t="str">
        <f aca="false">IF($A18="","",$V18*$W18)</f>
        <v/>
      </c>
      <c r="Y18" s="33" t="str">
        <f aca="false">IF($A18="","",$U18+$X18)</f>
        <v/>
      </c>
      <c r="Z18" s="33" t="str">
        <f aca="false">IF($A18="","",$D18-$U18)</f>
        <v/>
      </c>
      <c r="AA18" s="33" t="str">
        <f aca="false">IF($A18="","",$D18-$Y18)</f>
        <v/>
      </c>
      <c r="AB18" s="41" t="str">
        <f aca="false">IF(OR($A18="",$D18=0),"",$Z18/$D18)</f>
        <v/>
      </c>
      <c r="AC18" s="41" t="str">
        <f aca="false">IF(OR($A18="",$D18=0),"",$AA18/$D18)</f>
        <v/>
      </c>
      <c r="AD18" s="42" t="str">
        <f aca="false">IFERROR(IF($A18="","",$Z18/$V18),"")</f>
        <v/>
      </c>
    </row>
    <row r="19" customFormat="false" ht="18" hidden="false" customHeight="true" outlineLevel="0" collapsed="false">
      <c r="A19" s="30"/>
      <c r="B19" s="37" t="str">
        <f aca="false">IF($A19="","",IFERROR(INDEX('Fragrance Projects'!$C$5:$C$64,MATCH($A19,'Fragrance Projects'!$A$5:$A$64,0)),""))</f>
        <v/>
      </c>
      <c r="C19" s="37" t="str">
        <f aca="false">IF($A19="","",IFERROR(INDEX('Fragrance Projects'!$D$5:$D$64,MATCH($A19,'Fragrance Projects'!$A$5:$A$64,0)),""))</f>
        <v/>
      </c>
      <c r="D19" s="32"/>
      <c r="E19" s="33" t="str">
        <f aca="false">IF($A19="","",IFERROR(INDEX(Payments!$G$5:$G$64,MATCH($A19,Payments!$B$5:$B$64,0)),0)+IFERROR(INDEX(Payments!$K$5:$K$64,MATCH($A19,Payments!$B$5:$B$64,0)),0))</f>
        <v/>
      </c>
      <c r="F19" s="33" t="str">
        <f aca="false">IF($A19="","",$D19-$E19)</f>
        <v/>
      </c>
      <c r="G19" s="33" t="str">
        <f aca="false">IF($A19="","",SUMIFS('Expense Log'!$J$5:$J$154,'Expense Log'!$B$5:$B$154,$A19,'Expense Log'!$E$5:$E$154,"Raw Materials"))</f>
        <v/>
      </c>
      <c r="H19" s="33" t="str">
        <f aca="false">IF($A19="","",SUMIFS('Expense Log'!$J$5:$J$154,'Expense Log'!$B$5:$B$154,$A19,'Expense Log'!$E$5:$E$154,"Alcohol/Carrier"))</f>
        <v/>
      </c>
      <c r="I19" s="33" t="str">
        <f aca="false">IF($A19="","",SUMIFS('Expense Log'!$J$5:$J$154,'Expense Log'!$B$5:$B$154,$A19,'Expense Log'!$E$5:$E$154,"Bottles")+SUMIFS('Expense Log'!$J$5:$J$154,'Expense Log'!$B$5:$B$154,$A19,'Expense Log'!$E$5:$E$154,"Sample Vials"))</f>
        <v/>
      </c>
      <c r="J19" s="33" t="str">
        <f aca="false">IF($A19="","",SUMIFS('Expense Log'!$J$5:$J$154,'Expense Log'!$B$5:$B$154,$A19,'Expense Log'!$E$5:$E$154,"Packaging"))</f>
        <v/>
      </c>
      <c r="K19" s="33" t="str">
        <f aca="false">IF($A19="","",SUMIFS('Expense Log'!$J$5:$J$154,'Expense Log'!$B$5:$B$154,$A19,'Expense Log'!$E$5:$E$154,"Labels"))</f>
        <v/>
      </c>
      <c r="L19" s="33" t="str">
        <f aca="false">IF($A19="","",SUMIFS('Expense Log'!$J$5:$J$154,'Expense Log'!$B$5:$B$154,$A19,'Expense Log'!$E$5:$E$154,"Shipping"))</f>
        <v/>
      </c>
      <c r="M19" s="33" t="str">
        <f aca="false">IF($A19="","",SUMIFS('Expense Log'!$J$5:$J$154,'Expense Log'!$B$5:$B$154,$A19,'Expense Log'!$E$5:$E$154,"Documentation"))</f>
        <v/>
      </c>
      <c r="N19" s="33" t="str">
        <f aca="false">IF($A19="","",SUMIFS('Expense Log'!$J$5:$J$154,'Expense Log'!$B$5:$B$154,$A19,'Expense Log'!$E$5:$E$154,"SDS"))</f>
        <v/>
      </c>
      <c r="O19" s="33" t="str">
        <f aca="false">IF($A19="","",SUMIFS('Expense Log'!$J$5:$J$154,'Expense Log'!$B$5:$B$154,$A19,'Expense Log'!$E$5:$E$154,"IFRA/Allergen"))</f>
        <v/>
      </c>
      <c r="P19" s="33" t="str">
        <f aca="false">IF($A19="","",SUMIFS('Expense Log'!$J$5:$J$154,'Expense Log'!$B$5:$B$154,$A19,'Expense Log'!$E$5:$E$154,"CPSR"))</f>
        <v/>
      </c>
      <c r="Q19" s="33" t="str">
        <f aca="false">IF($A19="","",SUMIFS('Expense Log'!$J$5:$J$154,'Expense Log'!$B$5:$B$154,$A19,'Expense Log'!$E$5:$E$154,"Compounding"))</f>
        <v/>
      </c>
      <c r="R19" s="33" t="str">
        <f aca="false">IF($A19="","",SUMIFS('Expense Log'!$J$5:$J$154,'Expense Log'!$B$5:$B$154,$A19,'Expense Log'!$E$5:$E$154,"External Perfumer"))</f>
        <v/>
      </c>
      <c r="S19" s="33" t="str">
        <f aca="false">IF($A19="","",SUMIFS('Expense Log'!$J$5:$J$154,'Expense Log'!$B$5:$B$154,$A19,'Expense Log'!$E$5:$E$154,"Payment Fees"))</f>
        <v/>
      </c>
      <c r="T19" s="33" t="str">
        <f aca="false">IF($A19="","",SUMIFS('Expense Log'!$J$5:$J$154,'Expense Log'!$B$5:$B$154,$A19,'Expense Log'!$E$5:$E$154,"Testing")+SUMIFS('Expense Log'!$J$5:$J$154,'Expense Log'!$B$5:$B$154,$A19,'Expense Log'!$E$5:$E$154,"Software")+SUMIFS('Expense Log'!$J$5:$J$154,'Expense Log'!$B$5:$B$154,$A19,'Expense Log'!$E$5:$E$154,"Other"))</f>
        <v/>
      </c>
      <c r="U19" s="33" t="str">
        <f aca="false">IF($A19="","",SUM($G19:$T19))</f>
        <v/>
      </c>
      <c r="V19" s="39" t="str">
        <f aca="false">IF($A19="","",SUMIFS('Iteration Tracker'!$T$5:$T$124,'Iteration Tracker'!$A$5:$A$124,$A19))</f>
        <v/>
      </c>
      <c r="W19" s="40"/>
      <c r="X19" s="33" t="str">
        <f aca="false">IF($A19="","",$V19*$W19)</f>
        <v/>
      </c>
      <c r="Y19" s="33" t="str">
        <f aca="false">IF($A19="","",$U19+$X19)</f>
        <v/>
      </c>
      <c r="Z19" s="33" t="str">
        <f aca="false">IF($A19="","",$D19-$U19)</f>
        <v/>
      </c>
      <c r="AA19" s="33" t="str">
        <f aca="false">IF($A19="","",$D19-$Y19)</f>
        <v/>
      </c>
      <c r="AB19" s="41" t="str">
        <f aca="false">IF(OR($A19="",$D19=0),"",$Z19/$D19)</f>
        <v/>
      </c>
      <c r="AC19" s="41" t="str">
        <f aca="false">IF(OR($A19="",$D19=0),"",$AA19/$D19)</f>
        <v/>
      </c>
      <c r="AD19" s="42" t="str">
        <f aca="false">IFERROR(IF($A19="","",$Z19/$V19),"")</f>
        <v/>
      </c>
    </row>
    <row r="20" customFormat="false" ht="18" hidden="false" customHeight="true" outlineLevel="0" collapsed="false">
      <c r="A20" s="30"/>
      <c r="B20" s="37" t="str">
        <f aca="false">IF($A20="","",IFERROR(INDEX('Fragrance Projects'!$C$5:$C$64,MATCH($A20,'Fragrance Projects'!$A$5:$A$64,0)),""))</f>
        <v/>
      </c>
      <c r="C20" s="37" t="str">
        <f aca="false">IF($A20="","",IFERROR(INDEX('Fragrance Projects'!$D$5:$D$64,MATCH($A20,'Fragrance Projects'!$A$5:$A$64,0)),""))</f>
        <v/>
      </c>
      <c r="D20" s="32"/>
      <c r="E20" s="33" t="str">
        <f aca="false">IF($A20="","",IFERROR(INDEX(Payments!$G$5:$G$64,MATCH($A20,Payments!$B$5:$B$64,0)),0)+IFERROR(INDEX(Payments!$K$5:$K$64,MATCH($A20,Payments!$B$5:$B$64,0)),0))</f>
        <v/>
      </c>
      <c r="F20" s="33" t="str">
        <f aca="false">IF($A20="","",$D20-$E20)</f>
        <v/>
      </c>
      <c r="G20" s="33" t="str">
        <f aca="false">IF($A20="","",SUMIFS('Expense Log'!$J$5:$J$154,'Expense Log'!$B$5:$B$154,$A20,'Expense Log'!$E$5:$E$154,"Raw Materials"))</f>
        <v/>
      </c>
      <c r="H20" s="33" t="str">
        <f aca="false">IF($A20="","",SUMIFS('Expense Log'!$J$5:$J$154,'Expense Log'!$B$5:$B$154,$A20,'Expense Log'!$E$5:$E$154,"Alcohol/Carrier"))</f>
        <v/>
      </c>
      <c r="I20" s="33" t="str">
        <f aca="false">IF($A20="","",SUMIFS('Expense Log'!$J$5:$J$154,'Expense Log'!$B$5:$B$154,$A20,'Expense Log'!$E$5:$E$154,"Bottles")+SUMIFS('Expense Log'!$J$5:$J$154,'Expense Log'!$B$5:$B$154,$A20,'Expense Log'!$E$5:$E$154,"Sample Vials"))</f>
        <v/>
      </c>
      <c r="J20" s="33" t="str">
        <f aca="false">IF($A20="","",SUMIFS('Expense Log'!$J$5:$J$154,'Expense Log'!$B$5:$B$154,$A20,'Expense Log'!$E$5:$E$154,"Packaging"))</f>
        <v/>
      </c>
      <c r="K20" s="33" t="str">
        <f aca="false">IF($A20="","",SUMIFS('Expense Log'!$J$5:$J$154,'Expense Log'!$B$5:$B$154,$A20,'Expense Log'!$E$5:$E$154,"Labels"))</f>
        <v/>
      </c>
      <c r="L20" s="33" t="str">
        <f aca="false">IF($A20="","",SUMIFS('Expense Log'!$J$5:$J$154,'Expense Log'!$B$5:$B$154,$A20,'Expense Log'!$E$5:$E$154,"Shipping"))</f>
        <v/>
      </c>
      <c r="M20" s="33" t="str">
        <f aca="false">IF($A20="","",SUMIFS('Expense Log'!$J$5:$J$154,'Expense Log'!$B$5:$B$154,$A20,'Expense Log'!$E$5:$E$154,"Documentation"))</f>
        <v/>
      </c>
      <c r="N20" s="33" t="str">
        <f aca="false">IF($A20="","",SUMIFS('Expense Log'!$J$5:$J$154,'Expense Log'!$B$5:$B$154,$A20,'Expense Log'!$E$5:$E$154,"SDS"))</f>
        <v/>
      </c>
      <c r="O20" s="33" t="str">
        <f aca="false">IF($A20="","",SUMIFS('Expense Log'!$J$5:$J$154,'Expense Log'!$B$5:$B$154,$A20,'Expense Log'!$E$5:$E$154,"IFRA/Allergen"))</f>
        <v/>
      </c>
      <c r="P20" s="33" t="str">
        <f aca="false">IF($A20="","",SUMIFS('Expense Log'!$J$5:$J$154,'Expense Log'!$B$5:$B$154,$A20,'Expense Log'!$E$5:$E$154,"CPSR"))</f>
        <v/>
      </c>
      <c r="Q20" s="33" t="str">
        <f aca="false">IF($A20="","",SUMIFS('Expense Log'!$J$5:$J$154,'Expense Log'!$B$5:$B$154,$A20,'Expense Log'!$E$5:$E$154,"Compounding"))</f>
        <v/>
      </c>
      <c r="R20" s="33" t="str">
        <f aca="false">IF($A20="","",SUMIFS('Expense Log'!$J$5:$J$154,'Expense Log'!$B$5:$B$154,$A20,'Expense Log'!$E$5:$E$154,"External Perfumer"))</f>
        <v/>
      </c>
      <c r="S20" s="33" t="str">
        <f aca="false">IF($A20="","",SUMIFS('Expense Log'!$J$5:$J$154,'Expense Log'!$B$5:$B$154,$A20,'Expense Log'!$E$5:$E$154,"Payment Fees"))</f>
        <v/>
      </c>
      <c r="T20" s="33" t="str">
        <f aca="false">IF($A20="","",SUMIFS('Expense Log'!$J$5:$J$154,'Expense Log'!$B$5:$B$154,$A20,'Expense Log'!$E$5:$E$154,"Testing")+SUMIFS('Expense Log'!$J$5:$J$154,'Expense Log'!$B$5:$B$154,$A20,'Expense Log'!$E$5:$E$154,"Software")+SUMIFS('Expense Log'!$J$5:$J$154,'Expense Log'!$B$5:$B$154,$A20,'Expense Log'!$E$5:$E$154,"Other"))</f>
        <v/>
      </c>
      <c r="U20" s="33" t="str">
        <f aca="false">IF($A20="","",SUM($G20:$T20))</f>
        <v/>
      </c>
      <c r="V20" s="39" t="str">
        <f aca="false">IF($A20="","",SUMIFS('Iteration Tracker'!$T$5:$T$124,'Iteration Tracker'!$A$5:$A$124,$A20))</f>
        <v/>
      </c>
      <c r="W20" s="40"/>
      <c r="X20" s="33" t="str">
        <f aca="false">IF($A20="","",$V20*$W20)</f>
        <v/>
      </c>
      <c r="Y20" s="33" t="str">
        <f aca="false">IF($A20="","",$U20+$X20)</f>
        <v/>
      </c>
      <c r="Z20" s="33" t="str">
        <f aca="false">IF($A20="","",$D20-$U20)</f>
        <v/>
      </c>
      <c r="AA20" s="33" t="str">
        <f aca="false">IF($A20="","",$D20-$Y20)</f>
        <v/>
      </c>
      <c r="AB20" s="41" t="str">
        <f aca="false">IF(OR($A20="",$D20=0),"",$Z20/$D20)</f>
        <v/>
      </c>
      <c r="AC20" s="41" t="str">
        <f aca="false">IF(OR($A20="",$D20=0),"",$AA20/$D20)</f>
        <v/>
      </c>
      <c r="AD20" s="42" t="str">
        <f aca="false">IFERROR(IF($A20="","",$Z20/$V20),"")</f>
        <v/>
      </c>
    </row>
    <row r="21" customFormat="false" ht="18" hidden="false" customHeight="true" outlineLevel="0" collapsed="false">
      <c r="A21" s="30"/>
      <c r="B21" s="37" t="str">
        <f aca="false">IF($A21="","",IFERROR(INDEX('Fragrance Projects'!$C$5:$C$64,MATCH($A21,'Fragrance Projects'!$A$5:$A$64,0)),""))</f>
        <v/>
      </c>
      <c r="C21" s="37" t="str">
        <f aca="false">IF($A21="","",IFERROR(INDEX('Fragrance Projects'!$D$5:$D$64,MATCH($A21,'Fragrance Projects'!$A$5:$A$64,0)),""))</f>
        <v/>
      </c>
      <c r="D21" s="32"/>
      <c r="E21" s="33" t="str">
        <f aca="false">IF($A21="","",IFERROR(INDEX(Payments!$G$5:$G$64,MATCH($A21,Payments!$B$5:$B$64,0)),0)+IFERROR(INDEX(Payments!$K$5:$K$64,MATCH($A21,Payments!$B$5:$B$64,0)),0))</f>
        <v/>
      </c>
      <c r="F21" s="33" t="str">
        <f aca="false">IF($A21="","",$D21-$E21)</f>
        <v/>
      </c>
      <c r="G21" s="33" t="str">
        <f aca="false">IF($A21="","",SUMIFS('Expense Log'!$J$5:$J$154,'Expense Log'!$B$5:$B$154,$A21,'Expense Log'!$E$5:$E$154,"Raw Materials"))</f>
        <v/>
      </c>
      <c r="H21" s="33" t="str">
        <f aca="false">IF($A21="","",SUMIFS('Expense Log'!$J$5:$J$154,'Expense Log'!$B$5:$B$154,$A21,'Expense Log'!$E$5:$E$154,"Alcohol/Carrier"))</f>
        <v/>
      </c>
      <c r="I21" s="33" t="str">
        <f aca="false">IF($A21="","",SUMIFS('Expense Log'!$J$5:$J$154,'Expense Log'!$B$5:$B$154,$A21,'Expense Log'!$E$5:$E$154,"Bottles")+SUMIFS('Expense Log'!$J$5:$J$154,'Expense Log'!$B$5:$B$154,$A21,'Expense Log'!$E$5:$E$154,"Sample Vials"))</f>
        <v/>
      </c>
      <c r="J21" s="33" t="str">
        <f aca="false">IF($A21="","",SUMIFS('Expense Log'!$J$5:$J$154,'Expense Log'!$B$5:$B$154,$A21,'Expense Log'!$E$5:$E$154,"Packaging"))</f>
        <v/>
      </c>
      <c r="K21" s="33" t="str">
        <f aca="false">IF($A21="","",SUMIFS('Expense Log'!$J$5:$J$154,'Expense Log'!$B$5:$B$154,$A21,'Expense Log'!$E$5:$E$154,"Labels"))</f>
        <v/>
      </c>
      <c r="L21" s="33" t="str">
        <f aca="false">IF($A21="","",SUMIFS('Expense Log'!$J$5:$J$154,'Expense Log'!$B$5:$B$154,$A21,'Expense Log'!$E$5:$E$154,"Shipping"))</f>
        <v/>
      </c>
      <c r="M21" s="33" t="str">
        <f aca="false">IF($A21="","",SUMIFS('Expense Log'!$J$5:$J$154,'Expense Log'!$B$5:$B$154,$A21,'Expense Log'!$E$5:$E$154,"Documentation"))</f>
        <v/>
      </c>
      <c r="N21" s="33" t="str">
        <f aca="false">IF($A21="","",SUMIFS('Expense Log'!$J$5:$J$154,'Expense Log'!$B$5:$B$154,$A21,'Expense Log'!$E$5:$E$154,"SDS"))</f>
        <v/>
      </c>
      <c r="O21" s="33" t="str">
        <f aca="false">IF($A21="","",SUMIFS('Expense Log'!$J$5:$J$154,'Expense Log'!$B$5:$B$154,$A21,'Expense Log'!$E$5:$E$154,"IFRA/Allergen"))</f>
        <v/>
      </c>
      <c r="P21" s="33" t="str">
        <f aca="false">IF($A21="","",SUMIFS('Expense Log'!$J$5:$J$154,'Expense Log'!$B$5:$B$154,$A21,'Expense Log'!$E$5:$E$154,"CPSR"))</f>
        <v/>
      </c>
      <c r="Q21" s="33" t="str">
        <f aca="false">IF($A21="","",SUMIFS('Expense Log'!$J$5:$J$154,'Expense Log'!$B$5:$B$154,$A21,'Expense Log'!$E$5:$E$154,"Compounding"))</f>
        <v/>
      </c>
      <c r="R21" s="33" t="str">
        <f aca="false">IF($A21="","",SUMIFS('Expense Log'!$J$5:$J$154,'Expense Log'!$B$5:$B$154,$A21,'Expense Log'!$E$5:$E$154,"External Perfumer"))</f>
        <v/>
      </c>
      <c r="S21" s="33" t="str">
        <f aca="false">IF($A21="","",SUMIFS('Expense Log'!$J$5:$J$154,'Expense Log'!$B$5:$B$154,$A21,'Expense Log'!$E$5:$E$154,"Payment Fees"))</f>
        <v/>
      </c>
      <c r="T21" s="33" t="str">
        <f aca="false">IF($A21="","",SUMIFS('Expense Log'!$J$5:$J$154,'Expense Log'!$B$5:$B$154,$A21,'Expense Log'!$E$5:$E$154,"Testing")+SUMIFS('Expense Log'!$J$5:$J$154,'Expense Log'!$B$5:$B$154,$A21,'Expense Log'!$E$5:$E$154,"Software")+SUMIFS('Expense Log'!$J$5:$J$154,'Expense Log'!$B$5:$B$154,$A21,'Expense Log'!$E$5:$E$154,"Other"))</f>
        <v/>
      </c>
      <c r="U21" s="33" t="str">
        <f aca="false">IF($A21="","",SUM($G21:$T21))</f>
        <v/>
      </c>
      <c r="V21" s="39" t="str">
        <f aca="false">IF($A21="","",SUMIFS('Iteration Tracker'!$T$5:$T$124,'Iteration Tracker'!$A$5:$A$124,$A21))</f>
        <v/>
      </c>
      <c r="W21" s="40"/>
      <c r="X21" s="33" t="str">
        <f aca="false">IF($A21="","",$V21*$W21)</f>
        <v/>
      </c>
      <c r="Y21" s="33" t="str">
        <f aca="false">IF($A21="","",$U21+$X21)</f>
        <v/>
      </c>
      <c r="Z21" s="33" t="str">
        <f aca="false">IF($A21="","",$D21-$U21)</f>
        <v/>
      </c>
      <c r="AA21" s="33" t="str">
        <f aca="false">IF($A21="","",$D21-$Y21)</f>
        <v/>
      </c>
      <c r="AB21" s="41" t="str">
        <f aca="false">IF(OR($A21="",$D21=0),"",$Z21/$D21)</f>
        <v/>
      </c>
      <c r="AC21" s="41" t="str">
        <f aca="false">IF(OR($A21="",$D21=0),"",$AA21/$D21)</f>
        <v/>
      </c>
      <c r="AD21" s="42" t="str">
        <f aca="false">IFERROR(IF($A21="","",$Z21/$V21),"")</f>
        <v/>
      </c>
    </row>
    <row r="22" customFormat="false" ht="18" hidden="false" customHeight="true" outlineLevel="0" collapsed="false">
      <c r="A22" s="30"/>
      <c r="B22" s="37" t="str">
        <f aca="false">IF($A22="","",IFERROR(INDEX('Fragrance Projects'!$C$5:$C$64,MATCH($A22,'Fragrance Projects'!$A$5:$A$64,0)),""))</f>
        <v/>
      </c>
      <c r="C22" s="37" t="str">
        <f aca="false">IF($A22="","",IFERROR(INDEX('Fragrance Projects'!$D$5:$D$64,MATCH($A22,'Fragrance Projects'!$A$5:$A$64,0)),""))</f>
        <v/>
      </c>
      <c r="D22" s="32"/>
      <c r="E22" s="33" t="str">
        <f aca="false">IF($A22="","",IFERROR(INDEX(Payments!$G$5:$G$64,MATCH($A22,Payments!$B$5:$B$64,0)),0)+IFERROR(INDEX(Payments!$K$5:$K$64,MATCH($A22,Payments!$B$5:$B$64,0)),0))</f>
        <v/>
      </c>
      <c r="F22" s="33" t="str">
        <f aca="false">IF($A22="","",$D22-$E22)</f>
        <v/>
      </c>
      <c r="G22" s="33" t="str">
        <f aca="false">IF($A22="","",SUMIFS('Expense Log'!$J$5:$J$154,'Expense Log'!$B$5:$B$154,$A22,'Expense Log'!$E$5:$E$154,"Raw Materials"))</f>
        <v/>
      </c>
      <c r="H22" s="33" t="str">
        <f aca="false">IF($A22="","",SUMIFS('Expense Log'!$J$5:$J$154,'Expense Log'!$B$5:$B$154,$A22,'Expense Log'!$E$5:$E$154,"Alcohol/Carrier"))</f>
        <v/>
      </c>
      <c r="I22" s="33" t="str">
        <f aca="false">IF($A22="","",SUMIFS('Expense Log'!$J$5:$J$154,'Expense Log'!$B$5:$B$154,$A22,'Expense Log'!$E$5:$E$154,"Bottles")+SUMIFS('Expense Log'!$J$5:$J$154,'Expense Log'!$B$5:$B$154,$A22,'Expense Log'!$E$5:$E$154,"Sample Vials"))</f>
        <v/>
      </c>
      <c r="J22" s="33" t="str">
        <f aca="false">IF($A22="","",SUMIFS('Expense Log'!$J$5:$J$154,'Expense Log'!$B$5:$B$154,$A22,'Expense Log'!$E$5:$E$154,"Packaging"))</f>
        <v/>
      </c>
      <c r="K22" s="33" t="str">
        <f aca="false">IF($A22="","",SUMIFS('Expense Log'!$J$5:$J$154,'Expense Log'!$B$5:$B$154,$A22,'Expense Log'!$E$5:$E$154,"Labels"))</f>
        <v/>
      </c>
      <c r="L22" s="33" t="str">
        <f aca="false">IF($A22="","",SUMIFS('Expense Log'!$J$5:$J$154,'Expense Log'!$B$5:$B$154,$A22,'Expense Log'!$E$5:$E$154,"Shipping"))</f>
        <v/>
      </c>
      <c r="M22" s="33" t="str">
        <f aca="false">IF($A22="","",SUMIFS('Expense Log'!$J$5:$J$154,'Expense Log'!$B$5:$B$154,$A22,'Expense Log'!$E$5:$E$154,"Documentation"))</f>
        <v/>
      </c>
      <c r="N22" s="33" t="str">
        <f aca="false">IF($A22="","",SUMIFS('Expense Log'!$J$5:$J$154,'Expense Log'!$B$5:$B$154,$A22,'Expense Log'!$E$5:$E$154,"SDS"))</f>
        <v/>
      </c>
      <c r="O22" s="33" t="str">
        <f aca="false">IF($A22="","",SUMIFS('Expense Log'!$J$5:$J$154,'Expense Log'!$B$5:$B$154,$A22,'Expense Log'!$E$5:$E$154,"IFRA/Allergen"))</f>
        <v/>
      </c>
      <c r="P22" s="33" t="str">
        <f aca="false">IF($A22="","",SUMIFS('Expense Log'!$J$5:$J$154,'Expense Log'!$B$5:$B$154,$A22,'Expense Log'!$E$5:$E$154,"CPSR"))</f>
        <v/>
      </c>
      <c r="Q22" s="33" t="str">
        <f aca="false">IF($A22="","",SUMIFS('Expense Log'!$J$5:$J$154,'Expense Log'!$B$5:$B$154,$A22,'Expense Log'!$E$5:$E$154,"Compounding"))</f>
        <v/>
      </c>
      <c r="R22" s="33" t="str">
        <f aca="false">IF($A22="","",SUMIFS('Expense Log'!$J$5:$J$154,'Expense Log'!$B$5:$B$154,$A22,'Expense Log'!$E$5:$E$154,"External Perfumer"))</f>
        <v/>
      </c>
      <c r="S22" s="33" t="str">
        <f aca="false">IF($A22="","",SUMIFS('Expense Log'!$J$5:$J$154,'Expense Log'!$B$5:$B$154,$A22,'Expense Log'!$E$5:$E$154,"Payment Fees"))</f>
        <v/>
      </c>
      <c r="T22" s="33" t="str">
        <f aca="false">IF($A22="","",SUMIFS('Expense Log'!$J$5:$J$154,'Expense Log'!$B$5:$B$154,$A22,'Expense Log'!$E$5:$E$154,"Testing")+SUMIFS('Expense Log'!$J$5:$J$154,'Expense Log'!$B$5:$B$154,$A22,'Expense Log'!$E$5:$E$154,"Software")+SUMIFS('Expense Log'!$J$5:$J$154,'Expense Log'!$B$5:$B$154,$A22,'Expense Log'!$E$5:$E$154,"Other"))</f>
        <v/>
      </c>
      <c r="U22" s="33" t="str">
        <f aca="false">IF($A22="","",SUM($G22:$T22))</f>
        <v/>
      </c>
      <c r="V22" s="39" t="str">
        <f aca="false">IF($A22="","",SUMIFS('Iteration Tracker'!$T$5:$T$124,'Iteration Tracker'!$A$5:$A$124,$A22))</f>
        <v/>
      </c>
      <c r="W22" s="40"/>
      <c r="X22" s="33" t="str">
        <f aca="false">IF($A22="","",$V22*$W22)</f>
        <v/>
      </c>
      <c r="Y22" s="33" t="str">
        <f aca="false">IF($A22="","",$U22+$X22)</f>
        <v/>
      </c>
      <c r="Z22" s="33" t="str">
        <f aca="false">IF($A22="","",$D22-$U22)</f>
        <v/>
      </c>
      <c r="AA22" s="33" t="str">
        <f aca="false">IF($A22="","",$D22-$Y22)</f>
        <v/>
      </c>
      <c r="AB22" s="41" t="str">
        <f aca="false">IF(OR($A22="",$D22=0),"",$Z22/$D22)</f>
        <v/>
      </c>
      <c r="AC22" s="41" t="str">
        <f aca="false">IF(OR($A22="",$D22=0),"",$AA22/$D22)</f>
        <v/>
      </c>
      <c r="AD22" s="42" t="str">
        <f aca="false">IFERROR(IF($A22="","",$Z22/$V22),"")</f>
        <v/>
      </c>
    </row>
    <row r="23" customFormat="false" ht="18" hidden="false" customHeight="true" outlineLevel="0" collapsed="false">
      <c r="A23" s="30"/>
      <c r="B23" s="37" t="str">
        <f aca="false">IF($A23="","",IFERROR(INDEX('Fragrance Projects'!$C$5:$C$64,MATCH($A23,'Fragrance Projects'!$A$5:$A$64,0)),""))</f>
        <v/>
      </c>
      <c r="C23" s="37" t="str">
        <f aca="false">IF($A23="","",IFERROR(INDEX('Fragrance Projects'!$D$5:$D$64,MATCH($A23,'Fragrance Projects'!$A$5:$A$64,0)),""))</f>
        <v/>
      </c>
      <c r="D23" s="32"/>
      <c r="E23" s="33" t="str">
        <f aca="false">IF($A23="","",IFERROR(INDEX(Payments!$G$5:$G$64,MATCH($A23,Payments!$B$5:$B$64,0)),0)+IFERROR(INDEX(Payments!$K$5:$K$64,MATCH($A23,Payments!$B$5:$B$64,0)),0))</f>
        <v/>
      </c>
      <c r="F23" s="33" t="str">
        <f aca="false">IF($A23="","",$D23-$E23)</f>
        <v/>
      </c>
      <c r="G23" s="33" t="str">
        <f aca="false">IF($A23="","",SUMIFS('Expense Log'!$J$5:$J$154,'Expense Log'!$B$5:$B$154,$A23,'Expense Log'!$E$5:$E$154,"Raw Materials"))</f>
        <v/>
      </c>
      <c r="H23" s="33" t="str">
        <f aca="false">IF($A23="","",SUMIFS('Expense Log'!$J$5:$J$154,'Expense Log'!$B$5:$B$154,$A23,'Expense Log'!$E$5:$E$154,"Alcohol/Carrier"))</f>
        <v/>
      </c>
      <c r="I23" s="33" t="str">
        <f aca="false">IF($A23="","",SUMIFS('Expense Log'!$J$5:$J$154,'Expense Log'!$B$5:$B$154,$A23,'Expense Log'!$E$5:$E$154,"Bottles")+SUMIFS('Expense Log'!$J$5:$J$154,'Expense Log'!$B$5:$B$154,$A23,'Expense Log'!$E$5:$E$154,"Sample Vials"))</f>
        <v/>
      </c>
      <c r="J23" s="33" t="str">
        <f aca="false">IF($A23="","",SUMIFS('Expense Log'!$J$5:$J$154,'Expense Log'!$B$5:$B$154,$A23,'Expense Log'!$E$5:$E$154,"Packaging"))</f>
        <v/>
      </c>
      <c r="K23" s="33" t="str">
        <f aca="false">IF($A23="","",SUMIFS('Expense Log'!$J$5:$J$154,'Expense Log'!$B$5:$B$154,$A23,'Expense Log'!$E$5:$E$154,"Labels"))</f>
        <v/>
      </c>
      <c r="L23" s="33" t="str">
        <f aca="false">IF($A23="","",SUMIFS('Expense Log'!$J$5:$J$154,'Expense Log'!$B$5:$B$154,$A23,'Expense Log'!$E$5:$E$154,"Shipping"))</f>
        <v/>
      </c>
      <c r="M23" s="33" t="str">
        <f aca="false">IF($A23="","",SUMIFS('Expense Log'!$J$5:$J$154,'Expense Log'!$B$5:$B$154,$A23,'Expense Log'!$E$5:$E$154,"Documentation"))</f>
        <v/>
      </c>
      <c r="N23" s="33" t="str">
        <f aca="false">IF($A23="","",SUMIFS('Expense Log'!$J$5:$J$154,'Expense Log'!$B$5:$B$154,$A23,'Expense Log'!$E$5:$E$154,"SDS"))</f>
        <v/>
      </c>
      <c r="O23" s="33" t="str">
        <f aca="false">IF($A23="","",SUMIFS('Expense Log'!$J$5:$J$154,'Expense Log'!$B$5:$B$154,$A23,'Expense Log'!$E$5:$E$154,"IFRA/Allergen"))</f>
        <v/>
      </c>
      <c r="P23" s="33" t="str">
        <f aca="false">IF($A23="","",SUMIFS('Expense Log'!$J$5:$J$154,'Expense Log'!$B$5:$B$154,$A23,'Expense Log'!$E$5:$E$154,"CPSR"))</f>
        <v/>
      </c>
      <c r="Q23" s="33" t="str">
        <f aca="false">IF($A23="","",SUMIFS('Expense Log'!$J$5:$J$154,'Expense Log'!$B$5:$B$154,$A23,'Expense Log'!$E$5:$E$154,"Compounding"))</f>
        <v/>
      </c>
      <c r="R23" s="33" t="str">
        <f aca="false">IF($A23="","",SUMIFS('Expense Log'!$J$5:$J$154,'Expense Log'!$B$5:$B$154,$A23,'Expense Log'!$E$5:$E$154,"External Perfumer"))</f>
        <v/>
      </c>
      <c r="S23" s="33" t="str">
        <f aca="false">IF($A23="","",SUMIFS('Expense Log'!$J$5:$J$154,'Expense Log'!$B$5:$B$154,$A23,'Expense Log'!$E$5:$E$154,"Payment Fees"))</f>
        <v/>
      </c>
      <c r="T23" s="33" t="str">
        <f aca="false">IF($A23="","",SUMIFS('Expense Log'!$J$5:$J$154,'Expense Log'!$B$5:$B$154,$A23,'Expense Log'!$E$5:$E$154,"Testing")+SUMIFS('Expense Log'!$J$5:$J$154,'Expense Log'!$B$5:$B$154,$A23,'Expense Log'!$E$5:$E$154,"Software")+SUMIFS('Expense Log'!$J$5:$J$154,'Expense Log'!$B$5:$B$154,$A23,'Expense Log'!$E$5:$E$154,"Other"))</f>
        <v/>
      </c>
      <c r="U23" s="33" t="str">
        <f aca="false">IF($A23="","",SUM($G23:$T23))</f>
        <v/>
      </c>
      <c r="V23" s="39" t="str">
        <f aca="false">IF($A23="","",SUMIFS('Iteration Tracker'!$T$5:$T$124,'Iteration Tracker'!$A$5:$A$124,$A23))</f>
        <v/>
      </c>
      <c r="W23" s="40"/>
      <c r="X23" s="33" t="str">
        <f aca="false">IF($A23="","",$V23*$W23)</f>
        <v/>
      </c>
      <c r="Y23" s="33" t="str">
        <f aca="false">IF($A23="","",$U23+$X23)</f>
        <v/>
      </c>
      <c r="Z23" s="33" t="str">
        <f aca="false">IF($A23="","",$D23-$U23)</f>
        <v/>
      </c>
      <c r="AA23" s="33" t="str">
        <f aca="false">IF($A23="","",$D23-$Y23)</f>
        <v/>
      </c>
      <c r="AB23" s="41" t="str">
        <f aca="false">IF(OR($A23="",$D23=0),"",$Z23/$D23)</f>
        <v/>
      </c>
      <c r="AC23" s="41" t="str">
        <f aca="false">IF(OR($A23="",$D23=0),"",$AA23/$D23)</f>
        <v/>
      </c>
      <c r="AD23" s="42" t="str">
        <f aca="false">IFERROR(IF($A23="","",$Z23/$V23),"")</f>
        <v/>
      </c>
    </row>
    <row r="24" customFormat="false" ht="18" hidden="false" customHeight="true" outlineLevel="0" collapsed="false">
      <c r="A24" s="30"/>
      <c r="B24" s="37" t="str">
        <f aca="false">IF($A24="","",IFERROR(INDEX('Fragrance Projects'!$C$5:$C$64,MATCH($A24,'Fragrance Projects'!$A$5:$A$64,0)),""))</f>
        <v/>
      </c>
      <c r="C24" s="37" t="str">
        <f aca="false">IF($A24="","",IFERROR(INDEX('Fragrance Projects'!$D$5:$D$64,MATCH($A24,'Fragrance Projects'!$A$5:$A$64,0)),""))</f>
        <v/>
      </c>
      <c r="D24" s="32"/>
      <c r="E24" s="33" t="str">
        <f aca="false">IF($A24="","",IFERROR(INDEX(Payments!$G$5:$G$64,MATCH($A24,Payments!$B$5:$B$64,0)),0)+IFERROR(INDEX(Payments!$K$5:$K$64,MATCH($A24,Payments!$B$5:$B$64,0)),0))</f>
        <v/>
      </c>
      <c r="F24" s="33" t="str">
        <f aca="false">IF($A24="","",$D24-$E24)</f>
        <v/>
      </c>
      <c r="G24" s="33" t="str">
        <f aca="false">IF($A24="","",SUMIFS('Expense Log'!$J$5:$J$154,'Expense Log'!$B$5:$B$154,$A24,'Expense Log'!$E$5:$E$154,"Raw Materials"))</f>
        <v/>
      </c>
      <c r="H24" s="33" t="str">
        <f aca="false">IF($A24="","",SUMIFS('Expense Log'!$J$5:$J$154,'Expense Log'!$B$5:$B$154,$A24,'Expense Log'!$E$5:$E$154,"Alcohol/Carrier"))</f>
        <v/>
      </c>
      <c r="I24" s="33" t="str">
        <f aca="false">IF($A24="","",SUMIFS('Expense Log'!$J$5:$J$154,'Expense Log'!$B$5:$B$154,$A24,'Expense Log'!$E$5:$E$154,"Bottles")+SUMIFS('Expense Log'!$J$5:$J$154,'Expense Log'!$B$5:$B$154,$A24,'Expense Log'!$E$5:$E$154,"Sample Vials"))</f>
        <v/>
      </c>
      <c r="J24" s="33" t="str">
        <f aca="false">IF($A24="","",SUMIFS('Expense Log'!$J$5:$J$154,'Expense Log'!$B$5:$B$154,$A24,'Expense Log'!$E$5:$E$154,"Packaging"))</f>
        <v/>
      </c>
      <c r="K24" s="33" t="str">
        <f aca="false">IF($A24="","",SUMIFS('Expense Log'!$J$5:$J$154,'Expense Log'!$B$5:$B$154,$A24,'Expense Log'!$E$5:$E$154,"Labels"))</f>
        <v/>
      </c>
      <c r="L24" s="33" t="str">
        <f aca="false">IF($A24="","",SUMIFS('Expense Log'!$J$5:$J$154,'Expense Log'!$B$5:$B$154,$A24,'Expense Log'!$E$5:$E$154,"Shipping"))</f>
        <v/>
      </c>
      <c r="M24" s="33" t="str">
        <f aca="false">IF($A24="","",SUMIFS('Expense Log'!$J$5:$J$154,'Expense Log'!$B$5:$B$154,$A24,'Expense Log'!$E$5:$E$154,"Documentation"))</f>
        <v/>
      </c>
      <c r="N24" s="33" t="str">
        <f aca="false">IF($A24="","",SUMIFS('Expense Log'!$J$5:$J$154,'Expense Log'!$B$5:$B$154,$A24,'Expense Log'!$E$5:$E$154,"SDS"))</f>
        <v/>
      </c>
      <c r="O24" s="33" t="str">
        <f aca="false">IF($A24="","",SUMIFS('Expense Log'!$J$5:$J$154,'Expense Log'!$B$5:$B$154,$A24,'Expense Log'!$E$5:$E$154,"IFRA/Allergen"))</f>
        <v/>
      </c>
      <c r="P24" s="33" t="str">
        <f aca="false">IF($A24="","",SUMIFS('Expense Log'!$J$5:$J$154,'Expense Log'!$B$5:$B$154,$A24,'Expense Log'!$E$5:$E$154,"CPSR"))</f>
        <v/>
      </c>
      <c r="Q24" s="33" t="str">
        <f aca="false">IF($A24="","",SUMIFS('Expense Log'!$J$5:$J$154,'Expense Log'!$B$5:$B$154,$A24,'Expense Log'!$E$5:$E$154,"Compounding"))</f>
        <v/>
      </c>
      <c r="R24" s="33" t="str">
        <f aca="false">IF($A24="","",SUMIFS('Expense Log'!$J$5:$J$154,'Expense Log'!$B$5:$B$154,$A24,'Expense Log'!$E$5:$E$154,"External Perfumer"))</f>
        <v/>
      </c>
      <c r="S24" s="33" t="str">
        <f aca="false">IF($A24="","",SUMIFS('Expense Log'!$J$5:$J$154,'Expense Log'!$B$5:$B$154,$A24,'Expense Log'!$E$5:$E$154,"Payment Fees"))</f>
        <v/>
      </c>
      <c r="T24" s="33" t="str">
        <f aca="false">IF($A24="","",SUMIFS('Expense Log'!$J$5:$J$154,'Expense Log'!$B$5:$B$154,$A24,'Expense Log'!$E$5:$E$154,"Testing")+SUMIFS('Expense Log'!$J$5:$J$154,'Expense Log'!$B$5:$B$154,$A24,'Expense Log'!$E$5:$E$154,"Software")+SUMIFS('Expense Log'!$J$5:$J$154,'Expense Log'!$B$5:$B$154,$A24,'Expense Log'!$E$5:$E$154,"Other"))</f>
        <v/>
      </c>
      <c r="U24" s="33" t="str">
        <f aca="false">IF($A24="","",SUM($G24:$T24))</f>
        <v/>
      </c>
      <c r="V24" s="39" t="str">
        <f aca="false">IF($A24="","",SUMIFS('Iteration Tracker'!$T$5:$T$124,'Iteration Tracker'!$A$5:$A$124,$A24))</f>
        <v/>
      </c>
      <c r="W24" s="40"/>
      <c r="X24" s="33" t="str">
        <f aca="false">IF($A24="","",$V24*$W24)</f>
        <v/>
      </c>
      <c r="Y24" s="33" t="str">
        <f aca="false">IF($A24="","",$U24+$X24)</f>
        <v/>
      </c>
      <c r="Z24" s="33" t="str">
        <f aca="false">IF($A24="","",$D24-$U24)</f>
        <v/>
      </c>
      <c r="AA24" s="33" t="str">
        <f aca="false">IF($A24="","",$D24-$Y24)</f>
        <v/>
      </c>
      <c r="AB24" s="41" t="str">
        <f aca="false">IF(OR($A24="",$D24=0),"",$Z24/$D24)</f>
        <v/>
      </c>
      <c r="AC24" s="41" t="str">
        <f aca="false">IF(OR($A24="",$D24=0),"",$AA24/$D24)</f>
        <v/>
      </c>
      <c r="AD24" s="42" t="str">
        <f aca="false">IFERROR(IF($A24="","",$Z24/$V24),"")</f>
        <v/>
      </c>
    </row>
    <row r="25" customFormat="false" ht="18" hidden="false" customHeight="true" outlineLevel="0" collapsed="false">
      <c r="A25" s="30"/>
      <c r="B25" s="37" t="str">
        <f aca="false">IF($A25="","",IFERROR(INDEX('Fragrance Projects'!$C$5:$C$64,MATCH($A25,'Fragrance Projects'!$A$5:$A$64,0)),""))</f>
        <v/>
      </c>
      <c r="C25" s="37" t="str">
        <f aca="false">IF($A25="","",IFERROR(INDEX('Fragrance Projects'!$D$5:$D$64,MATCH($A25,'Fragrance Projects'!$A$5:$A$64,0)),""))</f>
        <v/>
      </c>
      <c r="D25" s="32"/>
      <c r="E25" s="33" t="str">
        <f aca="false">IF($A25="","",IFERROR(INDEX(Payments!$G$5:$G$64,MATCH($A25,Payments!$B$5:$B$64,0)),0)+IFERROR(INDEX(Payments!$K$5:$K$64,MATCH($A25,Payments!$B$5:$B$64,0)),0))</f>
        <v/>
      </c>
      <c r="F25" s="33" t="str">
        <f aca="false">IF($A25="","",$D25-$E25)</f>
        <v/>
      </c>
      <c r="G25" s="33" t="str">
        <f aca="false">IF($A25="","",SUMIFS('Expense Log'!$J$5:$J$154,'Expense Log'!$B$5:$B$154,$A25,'Expense Log'!$E$5:$E$154,"Raw Materials"))</f>
        <v/>
      </c>
      <c r="H25" s="33" t="str">
        <f aca="false">IF($A25="","",SUMIFS('Expense Log'!$J$5:$J$154,'Expense Log'!$B$5:$B$154,$A25,'Expense Log'!$E$5:$E$154,"Alcohol/Carrier"))</f>
        <v/>
      </c>
      <c r="I25" s="33" t="str">
        <f aca="false">IF($A25="","",SUMIFS('Expense Log'!$J$5:$J$154,'Expense Log'!$B$5:$B$154,$A25,'Expense Log'!$E$5:$E$154,"Bottles")+SUMIFS('Expense Log'!$J$5:$J$154,'Expense Log'!$B$5:$B$154,$A25,'Expense Log'!$E$5:$E$154,"Sample Vials"))</f>
        <v/>
      </c>
      <c r="J25" s="33" t="str">
        <f aca="false">IF($A25="","",SUMIFS('Expense Log'!$J$5:$J$154,'Expense Log'!$B$5:$B$154,$A25,'Expense Log'!$E$5:$E$154,"Packaging"))</f>
        <v/>
      </c>
      <c r="K25" s="33" t="str">
        <f aca="false">IF($A25="","",SUMIFS('Expense Log'!$J$5:$J$154,'Expense Log'!$B$5:$B$154,$A25,'Expense Log'!$E$5:$E$154,"Labels"))</f>
        <v/>
      </c>
      <c r="L25" s="33" t="str">
        <f aca="false">IF($A25="","",SUMIFS('Expense Log'!$J$5:$J$154,'Expense Log'!$B$5:$B$154,$A25,'Expense Log'!$E$5:$E$154,"Shipping"))</f>
        <v/>
      </c>
      <c r="M25" s="33" t="str">
        <f aca="false">IF($A25="","",SUMIFS('Expense Log'!$J$5:$J$154,'Expense Log'!$B$5:$B$154,$A25,'Expense Log'!$E$5:$E$154,"Documentation"))</f>
        <v/>
      </c>
      <c r="N25" s="33" t="str">
        <f aca="false">IF($A25="","",SUMIFS('Expense Log'!$J$5:$J$154,'Expense Log'!$B$5:$B$154,$A25,'Expense Log'!$E$5:$E$154,"SDS"))</f>
        <v/>
      </c>
      <c r="O25" s="33" t="str">
        <f aca="false">IF($A25="","",SUMIFS('Expense Log'!$J$5:$J$154,'Expense Log'!$B$5:$B$154,$A25,'Expense Log'!$E$5:$E$154,"IFRA/Allergen"))</f>
        <v/>
      </c>
      <c r="P25" s="33" t="str">
        <f aca="false">IF($A25="","",SUMIFS('Expense Log'!$J$5:$J$154,'Expense Log'!$B$5:$B$154,$A25,'Expense Log'!$E$5:$E$154,"CPSR"))</f>
        <v/>
      </c>
      <c r="Q25" s="33" t="str">
        <f aca="false">IF($A25="","",SUMIFS('Expense Log'!$J$5:$J$154,'Expense Log'!$B$5:$B$154,$A25,'Expense Log'!$E$5:$E$154,"Compounding"))</f>
        <v/>
      </c>
      <c r="R25" s="33" t="str">
        <f aca="false">IF($A25="","",SUMIFS('Expense Log'!$J$5:$J$154,'Expense Log'!$B$5:$B$154,$A25,'Expense Log'!$E$5:$E$154,"External Perfumer"))</f>
        <v/>
      </c>
      <c r="S25" s="33" t="str">
        <f aca="false">IF($A25="","",SUMIFS('Expense Log'!$J$5:$J$154,'Expense Log'!$B$5:$B$154,$A25,'Expense Log'!$E$5:$E$154,"Payment Fees"))</f>
        <v/>
      </c>
      <c r="T25" s="33" t="str">
        <f aca="false">IF($A25="","",SUMIFS('Expense Log'!$J$5:$J$154,'Expense Log'!$B$5:$B$154,$A25,'Expense Log'!$E$5:$E$154,"Testing")+SUMIFS('Expense Log'!$J$5:$J$154,'Expense Log'!$B$5:$B$154,$A25,'Expense Log'!$E$5:$E$154,"Software")+SUMIFS('Expense Log'!$J$5:$J$154,'Expense Log'!$B$5:$B$154,$A25,'Expense Log'!$E$5:$E$154,"Other"))</f>
        <v/>
      </c>
      <c r="U25" s="33" t="str">
        <f aca="false">IF($A25="","",SUM($G25:$T25))</f>
        <v/>
      </c>
      <c r="V25" s="39" t="str">
        <f aca="false">IF($A25="","",SUMIFS('Iteration Tracker'!$T$5:$T$124,'Iteration Tracker'!$A$5:$A$124,$A25))</f>
        <v/>
      </c>
      <c r="W25" s="40"/>
      <c r="X25" s="33" t="str">
        <f aca="false">IF($A25="","",$V25*$W25)</f>
        <v/>
      </c>
      <c r="Y25" s="33" t="str">
        <f aca="false">IF($A25="","",$U25+$X25)</f>
        <v/>
      </c>
      <c r="Z25" s="33" t="str">
        <f aca="false">IF($A25="","",$D25-$U25)</f>
        <v/>
      </c>
      <c r="AA25" s="33" t="str">
        <f aca="false">IF($A25="","",$D25-$Y25)</f>
        <v/>
      </c>
      <c r="AB25" s="41" t="str">
        <f aca="false">IF(OR($A25="",$D25=0),"",$Z25/$D25)</f>
        <v/>
      </c>
      <c r="AC25" s="41" t="str">
        <f aca="false">IF(OR($A25="",$D25=0),"",$AA25/$D25)</f>
        <v/>
      </c>
      <c r="AD25" s="42" t="str">
        <f aca="false">IFERROR(IF($A25="","",$Z25/$V25),"")</f>
        <v/>
      </c>
    </row>
    <row r="26" customFormat="false" ht="18" hidden="false" customHeight="true" outlineLevel="0" collapsed="false">
      <c r="A26" s="30"/>
      <c r="B26" s="37" t="str">
        <f aca="false">IF($A26="","",IFERROR(INDEX('Fragrance Projects'!$C$5:$C$64,MATCH($A26,'Fragrance Projects'!$A$5:$A$64,0)),""))</f>
        <v/>
      </c>
      <c r="C26" s="37" t="str">
        <f aca="false">IF($A26="","",IFERROR(INDEX('Fragrance Projects'!$D$5:$D$64,MATCH($A26,'Fragrance Projects'!$A$5:$A$64,0)),""))</f>
        <v/>
      </c>
      <c r="D26" s="32"/>
      <c r="E26" s="33" t="str">
        <f aca="false">IF($A26="","",IFERROR(INDEX(Payments!$G$5:$G$64,MATCH($A26,Payments!$B$5:$B$64,0)),0)+IFERROR(INDEX(Payments!$K$5:$K$64,MATCH($A26,Payments!$B$5:$B$64,0)),0))</f>
        <v/>
      </c>
      <c r="F26" s="33" t="str">
        <f aca="false">IF($A26="","",$D26-$E26)</f>
        <v/>
      </c>
      <c r="G26" s="33" t="str">
        <f aca="false">IF($A26="","",SUMIFS('Expense Log'!$J$5:$J$154,'Expense Log'!$B$5:$B$154,$A26,'Expense Log'!$E$5:$E$154,"Raw Materials"))</f>
        <v/>
      </c>
      <c r="H26" s="33" t="str">
        <f aca="false">IF($A26="","",SUMIFS('Expense Log'!$J$5:$J$154,'Expense Log'!$B$5:$B$154,$A26,'Expense Log'!$E$5:$E$154,"Alcohol/Carrier"))</f>
        <v/>
      </c>
      <c r="I26" s="33" t="str">
        <f aca="false">IF($A26="","",SUMIFS('Expense Log'!$J$5:$J$154,'Expense Log'!$B$5:$B$154,$A26,'Expense Log'!$E$5:$E$154,"Bottles")+SUMIFS('Expense Log'!$J$5:$J$154,'Expense Log'!$B$5:$B$154,$A26,'Expense Log'!$E$5:$E$154,"Sample Vials"))</f>
        <v/>
      </c>
      <c r="J26" s="33" t="str">
        <f aca="false">IF($A26="","",SUMIFS('Expense Log'!$J$5:$J$154,'Expense Log'!$B$5:$B$154,$A26,'Expense Log'!$E$5:$E$154,"Packaging"))</f>
        <v/>
      </c>
      <c r="K26" s="33" t="str">
        <f aca="false">IF($A26="","",SUMIFS('Expense Log'!$J$5:$J$154,'Expense Log'!$B$5:$B$154,$A26,'Expense Log'!$E$5:$E$154,"Labels"))</f>
        <v/>
      </c>
      <c r="L26" s="33" t="str">
        <f aca="false">IF($A26="","",SUMIFS('Expense Log'!$J$5:$J$154,'Expense Log'!$B$5:$B$154,$A26,'Expense Log'!$E$5:$E$154,"Shipping"))</f>
        <v/>
      </c>
      <c r="M26" s="33" t="str">
        <f aca="false">IF($A26="","",SUMIFS('Expense Log'!$J$5:$J$154,'Expense Log'!$B$5:$B$154,$A26,'Expense Log'!$E$5:$E$154,"Documentation"))</f>
        <v/>
      </c>
      <c r="N26" s="33" t="str">
        <f aca="false">IF($A26="","",SUMIFS('Expense Log'!$J$5:$J$154,'Expense Log'!$B$5:$B$154,$A26,'Expense Log'!$E$5:$E$154,"SDS"))</f>
        <v/>
      </c>
      <c r="O26" s="33" t="str">
        <f aca="false">IF($A26="","",SUMIFS('Expense Log'!$J$5:$J$154,'Expense Log'!$B$5:$B$154,$A26,'Expense Log'!$E$5:$E$154,"IFRA/Allergen"))</f>
        <v/>
      </c>
      <c r="P26" s="33" t="str">
        <f aca="false">IF($A26="","",SUMIFS('Expense Log'!$J$5:$J$154,'Expense Log'!$B$5:$B$154,$A26,'Expense Log'!$E$5:$E$154,"CPSR"))</f>
        <v/>
      </c>
      <c r="Q26" s="33" t="str">
        <f aca="false">IF($A26="","",SUMIFS('Expense Log'!$J$5:$J$154,'Expense Log'!$B$5:$B$154,$A26,'Expense Log'!$E$5:$E$154,"Compounding"))</f>
        <v/>
      </c>
      <c r="R26" s="33" t="str">
        <f aca="false">IF($A26="","",SUMIFS('Expense Log'!$J$5:$J$154,'Expense Log'!$B$5:$B$154,$A26,'Expense Log'!$E$5:$E$154,"External Perfumer"))</f>
        <v/>
      </c>
      <c r="S26" s="33" t="str">
        <f aca="false">IF($A26="","",SUMIFS('Expense Log'!$J$5:$J$154,'Expense Log'!$B$5:$B$154,$A26,'Expense Log'!$E$5:$E$154,"Payment Fees"))</f>
        <v/>
      </c>
      <c r="T26" s="33" t="str">
        <f aca="false">IF($A26="","",SUMIFS('Expense Log'!$J$5:$J$154,'Expense Log'!$B$5:$B$154,$A26,'Expense Log'!$E$5:$E$154,"Testing")+SUMIFS('Expense Log'!$J$5:$J$154,'Expense Log'!$B$5:$B$154,$A26,'Expense Log'!$E$5:$E$154,"Software")+SUMIFS('Expense Log'!$J$5:$J$154,'Expense Log'!$B$5:$B$154,$A26,'Expense Log'!$E$5:$E$154,"Other"))</f>
        <v/>
      </c>
      <c r="U26" s="33" t="str">
        <f aca="false">IF($A26="","",SUM($G26:$T26))</f>
        <v/>
      </c>
      <c r="V26" s="39" t="str">
        <f aca="false">IF($A26="","",SUMIFS('Iteration Tracker'!$T$5:$T$124,'Iteration Tracker'!$A$5:$A$124,$A26))</f>
        <v/>
      </c>
      <c r="W26" s="40"/>
      <c r="X26" s="33" t="str">
        <f aca="false">IF($A26="","",$V26*$W26)</f>
        <v/>
      </c>
      <c r="Y26" s="33" t="str">
        <f aca="false">IF($A26="","",$U26+$X26)</f>
        <v/>
      </c>
      <c r="Z26" s="33" t="str">
        <f aca="false">IF($A26="","",$D26-$U26)</f>
        <v/>
      </c>
      <c r="AA26" s="33" t="str">
        <f aca="false">IF($A26="","",$D26-$Y26)</f>
        <v/>
      </c>
      <c r="AB26" s="41" t="str">
        <f aca="false">IF(OR($A26="",$D26=0),"",$Z26/$D26)</f>
        <v/>
      </c>
      <c r="AC26" s="41" t="str">
        <f aca="false">IF(OR($A26="",$D26=0),"",$AA26/$D26)</f>
        <v/>
      </c>
      <c r="AD26" s="42" t="str">
        <f aca="false">IFERROR(IF($A26="","",$Z26/$V26),"")</f>
        <v/>
      </c>
    </row>
    <row r="27" customFormat="false" ht="18" hidden="false" customHeight="true" outlineLevel="0" collapsed="false">
      <c r="A27" s="30"/>
      <c r="B27" s="37" t="str">
        <f aca="false">IF($A27="","",IFERROR(INDEX('Fragrance Projects'!$C$5:$C$64,MATCH($A27,'Fragrance Projects'!$A$5:$A$64,0)),""))</f>
        <v/>
      </c>
      <c r="C27" s="37" t="str">
        <f aca="false">IF($A27="","",IFERROR(INDEX('Fragrance Projects'!$D$5:$D$64,MATCH($A27,'Fragrance Projects'!$A$5:$A$64,0)),""))</f>
        <v/>
      </c>
      <c r="D27" s="32"/>
      <c r="E27" s="33" t="str">
        <f aca="false">IF($A27="","",IFERROR(INDEX(Payments!$G$5:$G$64,MATCH($A27,Payments!$B$5:$B$64,0)),0)+IFERROR(INDEX(Payments!$K$5:$K$64,MATCH($A27,Payments!$B$5:$B$64,0)),0))</f>
        <v/>
      </c>
      <c r="F27" s="33" t="str">
        <f aca="false">IF($A27="","",$D27-$E27)</f>
        <v/>
      </c>
      <c r="G27" s="33" t="str">
        <f aca="false">IF($A27="","",SUMIFS('Expense Log'!$J$5:$J$154,'Expense Log'!$B$5:$B$154,$A27,'Expense Log'!$E$5:$E$154,"Raw Materials"))</f>
        <v/>
      </c>
      <c r="H27" s="33" t="str">
        <f aca="false">IF($A27="","",SUMIFS('Expense Log'!$J$5:$J$154,'Expense Log'!$B$5:$B$154,$A27,'Expense Log'!$E$5:$E$154,"Alcohol/Carrier"))</f>
        <v/>
      </c>
      <c r="I27" s="33" t="str">
        <f aca="false">IF($A27="","",SUMIFS('Expense Log'!$J$5:$J$154,'Expense Log'!$B$5:$B$154,$A27,'Expense Log'!$E$5:$E$154,"Bottles")+SUMIFS('Expense Log'!$J$5:$J$154,'Expense Log'!$B$5:$B$154,$A27,'Expense Log'!$E$5:$E$154,"Sample Vials"))</f>
        <v/>
      </c>
      <c r="J27" s="33" t="str">
        <f aca="false">IF($A27="","",SUMIFS('Expense Log'!$J$5:$J$154,'Expense Log'!$B$5:$B$154,$A27,'Expense Log'!$E$5:$E$154,"Packaging"))</f>
        <v/>
      </c>
      <c r="K27" s="33" t="str">
        <f aca="false">IF($A27="","",SUMIFS('Expense Log'!$J$5:$J$154,'Expense Log'!$B$5:$B$154,$A27,'Expense Log'!$E$5:$E$154,"Labels"))</f>
        <v/>
      </c>
      <c r="L27" s="33" t="str">
        <f aca="false">IF($A27="","",SUMIFS('Expense Log'!$J$5:$J$154,'Expense Log'!$B$5:$B$154,$A27,'Expense Log'!$E$5:$E$154,"Shipping"))</f>
        <v/>
      </c>
      <c r="M27" s="33" t="str">
        <f aca="false">IF($A27="","",SUMIFS('Expense Log'!$J$5:$J$154,'Expense Log'!$B$5:$B$154,$A27,'Expense Log'!$E$5:$E$154,"Documentation"))</f>
        <v/>
      </c>
      <c r="N27" s="33" t="str">
        <f aca="false">IF($A27="","",SUMIFS('Expense Log'!$J$5:$J$154,'Expense Log'!$B$5:$B$154,$A27,'Expense Log'!$E$5:$E$154,"SDS"))</f>
        <v/>
      </c>
      <c r="O27" s="33" t="str">
        <f aca="false">IF($A27="","",SUMIFS('Expense Log'!$J$5:$J$154,'Expense Log'!$B$5:$B$154,$A27,'Expense Log'!$E$5:$E$154,"IFRA/Allergen"))</f>
        <v/>
      </c>
      <c r="P27" s="33" t="str">
        <f aca="false">IF($A27="","",SUMIFS('Expense Log'!$J$5:$J$154,'Expense Log'!$B$5:$B$154,$A27,'Expense Log'!$E$5:$E$154,"CPSR"))</f>
        <v/>
      </c>
      <c r="Q27" s="33" t="str">
        <f aca="false">IF($A27="","",SUMIFS('Expense Log'!$J$5:$J$154,'Expense Log'!$B$5:$B$154,$A27,'Expense Log'!$E$5:$E$154,"Compounding"))</f>
        <v/>
      </c>
      <c r="R27" s="33" t="str">
        <f aca="false">IF($A27="","",SUMIFS('Expense Log'!$J$5:$J$154,'Expense Log'!$B$5:$B$154,$A27,'Expense Log'!$E$5:$E$154,"External Perfumer"))</f>
        <v/>
      </c>
      <c r="S27" s="33" t="str">
        <f aca="false">IF($A27="","",SUMIFS('Expense Log'!$J$5:$J$154,'Expense Log'!$B$5:$B$154,$A27,'Expense Log'!$E$5:$E$154,"Payment Fees"))</f>
        <v/>
      </c>
      <c r="T27" s="33" t="str">
        <f aca="false">IF($A27="","",SUMIFS('Expense Log'!$J$5:$J$154,'Expense Log'!$B$5:$B$154,$A27,'Expense Log'!$E$5:$E$154,"Testing")+SUMIFS('Expense Log'!$J$5:$J$154,'Expense Log'!$B$5:$B$154,$A27,'Expense Log'!$E$5:$E$154,"Software")+SUMIFS('Expense Log'!$J$5:$J$154,'Expense Log'!$B$5:$B$154,$A27,'Expense Log'!$E$5:$E$154,"Other"))</f>
        <v/>
      </c>
      <c r="U27" s="33" t="str">
        <f aca="false">IF($A27="","",SUM($G27:$T27))</f>
        <v/>
      </c>
      <c r="V27" s="39" t="str">
        <f aca="false">IF($A27="","",SUMIFS('Iteration Tracker'!$T$5:$T$124,'Iteration Tracker'!$A$5:$A$124,$A27))</f>
        <v/>
      </c>
      <c r="W27" s="40"/>
      <c r="X27" s="33" t="str">
        <f aca="false">IF($A27="","",$V27*$W27)</f>
        <v/>
      </c>
      <c r="Y27" s="33" t="str">
        <f aca="false">IF($A27="","",$U27+$X27)</f>
        <v/>
      </c>
      <c r="Z27" s="33" t="str">
        <f aca="false">IF($A27="","",$D27-$U27)</f>
        <v/>
      </c>
      <c r="AA27" s="33" t="str">
        <f aca="false">IF($A27="","",$D27-$Y27)</f>
        <v/>
      </c>
      <c r="AB27" s="41" t="str">
        <f aca="false">IF(OR($A27="",$D27=0),"",$Z27/$D27)</f>
        <v/>
      </c>
      <c r="AC27" s="41" t="str">
        <f aca="false">IF(OR($A27="",$D27=0),"",$AA27/$D27)</f>
        <v/>
      </c>
      <c r="AD27" s="42" t="str">
        <f aca="false">IFERROR(IF($A27="","",$Z27/$V27),"")</f>
        <v/>
      </c>
    </row>
    <row r="28" customFormat="false" ht="18" hidden="false" customHeight="true" outlineLevel="0" collapsed="false">
      <c r="A28" s="30"/>
      <c r="B28" s="37" t="str">
        <f aca="false">IF($A28="","",IFERROR(INDEX('Fragrance Projects'!$C$5:$C$64,MATCH($A28,'Fragrance Projects'!$A$5:$A$64,0)),""))</f>
        <v/>
      </c>
      <c r="C28" s="37" t="str">
        <f aca="false">IF($A28="","",IFERROR(INDEX('Fragrance Projects'!$D$5:$D$64,MATCH($A28,'Fragrance Projects'!$A$5:$A$64,0)),""))</f>
        <v/>
      </c>
      <c r="D28" s="32"/>
      <c r="E28" s="33" t="str">
        <f aca="false">IF($A28="","",IFERROR(INDEX(Payments!$G$5:$G$64,MATCH($A28,Payments!$B$5:$B$64,0)),0)+IFERROR(INDEX(Payments!$K$5:$K$64,MATCH($A28,Payments!$B$5:$B$64,0)),0))</f>
        <v/>
      </c>
      <c r="F28" s="33" t="str">
        <f aca="false">IF($A28="","",$D28-$E28)</f>
        <v/>
      </c>
      <c r="G28" s="33" t="str">
        <f aca="false">IF($A28="","",SUMIFS('Expense Log'!$J$5:$J$154,'Expense Log'!$B$5:$B$154,$A28,'Expense Log'!$E$5:$E$154,"Raw Materials"))</f>
        <v/>
      </c>
      <c r="H28" s="33" t="str">
        <f aca="false">IF($A28="","",SUMIFS('Expense Log'!$J$5:$J$154,'Expense Log'!$B$5:$B$154,$A28,'Expense Log'!$E$5:$E$154,"Alcohol/Carrier"))</f>
        <v/>
      </c>
      <c r="I28" s="33" t="str">
        <f aca="false">IF($A28="","",SUMIFS('Expense Log'!$J$5:$J$154,'Expense Log'!$B$5:$B$154,$A28,'Expense Log'!$E$5:$E$154,"Bottles")+SUMIFS('Expense Log'!$J$5:$J$154,'Expense Log'!$B$5:$B$154,$A28,'Expense Log'!$E$5:$E$154,"Sample Vials"))</f>
        <v/>
      </c>
      <c r="J28" s="33" t="str">
        <f aca="false">IF($A28="","",SUMIFS('Expense Log'!$J$5:$J$154,'Expense Log'!$B$5:$B$154,$A28,'Expense Log'!$E$5:$E$154,"Packaging"))</f>
        <v/>
      </c>
      <c r="K28" s="33" t="str">
        <f aca="false">IF($A28="","",SUMIFS('Expense Log'!$J$5:$J$154,'Expense Log'!$B$5:$B$154,$A28,'Expense Log'!$E$5:$E$154,"Labels"))</f>
        <v/>
      </c>
      <c r="L28" s="33" t="str">
        <f aca="false">IF($A28="","",SUMIFS('Expense Log'!$J$5:$J$154,'Expense Log'!$B$5:$B$154,$A28,'Expense Log'!$E$5:$E$154,"Shipping"))</f>
        <v/>
      </c>
      <c r="M28" s="33" t="str">
        <f aca="false">IF($A28="","",SUMIFS('Expense Log'!$J$5:$J$154,'Expense Log'!$B$5:$B$154,$A28,'Expense Log'!$E$5:$E$154,"Documentation"))</f>
        <v/>
      </c>
      <c r="N28" s="33" t="str">
        <f aca="false">IF($A28="","",SUMIFS('Expense Log'!$J$5:$J$154,'Expense Log'!$B$5:$B$154,$A28,'Expense Log'!$E$5:$E$154,"SDS"))</f>
        <v/>
      </c>
      <c r="O28" s="33" t="str">
        <f aca="false">IF($A28="","",SUMIFS('Expense Log'!$J$5:$J$154,'Expense Log'!$B$5:$B$154,$A28,'Expense Log'!$E$5:$E$154,"IFRA/Allergen"))</f>
        <v/>
      </c>
      <c r="P28" s="33" t="str">
        <f aca="false">IF($A28="","",SUMIFS('Expense Log'!$J$5:$J$154,'Expense Log'!$B$5:$B$154,$A28,'Expense Log'!$E$5:$E$154,"CPSR"))</f>
        <v/>
      </c>
      <c r="Q28" s="33" t="str">
        <f aca="false">IF($A28="","",SUMIFS('Expense Log'!$J$5:$J$154,'Expense Log'!$B$5:$B$154,$A28,'Expense Log'!$E$5:$E$154,"Compounding"))</f>
        <v/>
      </c>
      <c r="R28" s="33" t="str">
        <f aca="false">IF($A28="","",SUMIFS('Expense Log'!$J$5:$J$154,'Expense Log'!$B$5:$B$154,$A28,'Expense Log'!$E$5:$E$154,"External Perfumer"))</f>
        <v/>
      </c>
      <c r="S28" s="33" t="str">
        <f aca="false">IF($A28="","",SUMIFS('Expense Log'!$J$5:$J$154,'Expense Log'!$B$5:$B$154,$A28,'Expense Log'!$E$5:$E$154,"Payment Fees"))</f>
        <v/>
      </c>
      <c r="T28" s="33" t="str">
        <f aca="false">IF($A28="","",SUMIFS('Expense Log'!$J$5:$J$154,'Expense Log'!$B$5:$B$154,$A28,'Expense Log'!$E$5:$E$154,"Testing")+SUMIFS('Expense Log'!$J$5:$J$154,'Expense Log'!$B$5:$B$154,$A28,'Expense Log'!$E$5:$E$154,"Software")+SUMIFS('Expense Log'!$J$5:$J$154,'Expense Log'!$B$5:$B$154,$A28,'Expense Log'!$E$5:$E$154,"Other"))</f>
        <v/>
      </c>
      <c r="U28" s="33" t="str">
        <f aca="false">IF($A28="","",SUM($G28:$T28))</f>
        <v/>
      </c>
      <c r="V28" s="39" t="str">
        <f aca="false">IF($A28="","",SUMIFS('Iteration Tracker'!$T$5:$T$124,'Iteration Tracker'!$A$5:$A$124,$A28))</f>
        <v/>
      </c>
      <c r="W28" s="40"/>
      <c r="X28" s="33" t="str">
        <f aca="false">IF($A28="","",$V28*$W28)</f>
        <v/>
      </c>
      <c r="Y28" s="33" t="str">
        <f aca="false">IF($A28="","",$U28+$X28)</f>
        <v/>
      </c>
      <c r="Z28" s="33" t="str">
        <f aca="false">IF($A28="","",$D28-$U28)</f>
        <v/>
      </c>
      <c r="AA28" s="33" t="str">
        <f aca="false">IF($A28="","",$D28-$Y28)</f>
        <v/>
      </c>
      <c r="AB28" s="41" t="str">
        <f aca="false">IF(OR($A28="",$D28=0),"",$Z28/$D28)</f>
        <v/>
      </c>
      <c r="AC28" s="41" t="str">
        <f aca="false">IF(OR($A28="",$D28=0),"",$AA28/$D28)</f>
        <v/>
      </c>
      <c r="AD28" s="42" t="str">
        <f aca="false">IFERROR(IF($A28="","",$Z28/$V28),"")</f>
        <v/>
      </c>
    </row>
    <row r="29" customFormat="false" ht="18" hidden="false" customHeight="true" outlineLevel="0" collapsed="false">
      <c r="A29" s="30"/>
      <c r="B29" s="37" t="str">
        <f aca="false">IF($A29="","",IFERROR(INDEX('Fragrance Projects'!$C$5:$C$64,MATCH($A29,'Fragrance Projects'!$A$5:$A$64,0)),""))</f>
        <v/>
      </c>
      <c r="C29" s="37" t="str">
        <f aca="false">IF($A29="","",IFERROR(INDEX('Fragrance Projects'!$D$5:$D$64,MATCH($A29,'Fragrance Projects'!$A$5:$A$64,0)),""))</f>
        <v/>
      </c>
      <c r="D29" s="32"/>
      <c r="E29" s="33" t="str">
        <f aca="false">IF($A29="","",IFERROR(INDEX(Payments!$G$5:$G$64,MATCH($A29,Payments!$B$5:$B$64,0)),0)+IFERROR(INDEX(Payments!$K$5:$K$64,MATCH($A29,Payments!$B$5:$B$64,0)),0))</f>
        <v/>
      </c>
      <c r="F29" s="33" t="str">
        <f aca="false">IF($A29="","",$D29-$E29)</f>
        <v/>
      </c>
      <c r="G29" s="33" t="str">
        <f aca="false">IF($A29="","",SUMIFS('Expense Log'!$J$5:$J$154,'Expense Log'!$B$5:$B$154,$A29,'Expense Log'!$E$5:$E$154,"Raw Materials"))</f>
        <v/>
      </c>
      <c r="H29" s="33" t="str">
        <f aca="false">IF($A29="","",SUMIFS('Expense Log'!$J$5:$J$154,'Expense Log'!$B$5:$B$154,$A29,'Expense Log'!$E$5:$E$154,"Alcohol/Carrier"))</f>
        <v/>
      </c>
      <c r="I29" s="33" t="str">
        <f aca="false">IF($A29="","",SUMIFS('Expense Log'!$J$5:$J$154,'Expense Log'!$B$5:$B$154,$A29,'Expense Log'!$E$5:$E$154,"Bottles")+SUMIFS('Expense Log'!$J$5:$J$154,'Expense Log'!$B$5:$B$154,$A29,'Expense Log'!$E$5:$E$154,"Sample Vials"))</f>
        <v/>
      </c>
      <c r="J29" s="33" t="str">
        <f aca="false">IF($A29="","",SUMIFS('Expense Log'!$J$5:$J$154,'Expense Log'!$B$5:$B$154,$A29,'Expense Log'!$E$5:$E$154,"Packaging"))</f>
        <v/>
      </c>
      <c r="K29" s="33" t="str">
        <f aca="false">IF($A29="","",SUMIFS('Expense Log'!$J$5:$J$154,'Expense Log'!$B$5:$B$154,$A29,'Expense Log'!$E$5:$E$154,"Labels"))</f>
        <v/>
      </c>
      <c r="L29" s="33" t="str">
        <f aca="false">IF($A29="","",SUMIFS('Expense Log'!$J$5:$J$154,'Expense Log'!$B$5:$B$154,$A29,'Expense Log'!$E$5:$E$154,"Shipping"))</f>
        <v/>
      </c>
      <c r="M29" s="33" t="str">
        <f aca="false">IF($A29="","",SUMIFS('Expense Log'!$J$5:$J$154,'Expense Log'!$B$5:$B$154,$A29,'Expense Log'!$E$5:$E$154,"Documentation"))</f>
        <v/>
      </c>
      <c r="N29" s="33" t="str">
        <f aca="false">IF($A29="","",SUMIFS('Expense Log'!$J$5:$J$154,'Expense Log'!$B$5:$B$154,$A29,'Expense Log'!$E$5:$E$154,"SDS"))</f>
        <v/>
      </c>
      <c r="O29" s="33" t="str">
        <f aca="false">IF($A29="","",SUMIFS('Expense Log'!$J$5:$J$154,'Expense Log'!$B$5:$B$154,$A29,'Expense Log'!$E$5:$E$154,"IFRA/Allergen"))</f>
        <v/>
      </c>
      <c r="P29" s="33" t="str">
        <f aca="false">IF($A29="","",SUMIFS('Expense Log'!$J$5:$J$154,'Expense Log'!$B$5:$B$154,$A29,'Expense Log'!$E$5:$E$154,"CPSR"))</f>
        <v/>
      </c>
      <c r="Q29" s="33" t="str">
        <f aca="false">IF($A29="","",SUMIFS('Expense Log'!$J$5:$J$154,'Expense Log'!$B$5:$B$154,$A29,'Expense Log'!$E$5:$E$154,"Compounding"))</f>
        <v/>
      </c>
      <c r="R29" s="33" t="str">
        <f aca="false">IF($A29="","",SUMIFS('Expense Log'!$J$5:$J$154,'Expense Log'!$B$5:$B$154,$A29,'Expense Log'!$E$5:$E$154,"External Perfumer"))</f>
        <v/>
      </c>
      <c r="S29" s="33" t="str">
        <f aca="false">IF($A29="","",SUMIFS('Expense Log'!$J$5:$J$154,'Expense Log'!$B$5:$B$154,$A29,'Expense Log'!$E$5:$E$154,"Payment Fees"))</f>
        <v/>
      </c>
      <c r="T29" s="33" t="str">
        <f aca="false">IF($A29="","",SUMIFS('Expense Log'!$J$5:$J$154,'Expense Log'!$B$5:$B$154,$A29,'Expense Log'!$E$5:$E$154,"Testing")+SUMIFS('Expense Log'!$J$5:$J$154,'Expense Log'!$B$5:$B$154,$A29,'Expense Log'!$E$5:$E$154,"Software")+SUMIFS('Expense Log'!$J$5:$J$154,'Expense Log'!$B$5:$B$154,$A29,'Expense Log'!$E$5:$E$154,"Other"))</f>
        <v/>
      </c>
      <c r="U29" s="33" t="str">
        <f aca="false">IF($A29="","",SUM($G29:$T29))</f>
        <v/>
      </c>
      <c r="V29" s="39" t="str">
        <f aca="false">IF($A29="","",SUMIFS('Iteration Tracker'!$T$5:$T$124,'Iteration Tracker'!$A$5:$A$124,$A29))</f>
        <v/>
      </c>
      <c r="W29" s="40"/>
      <c r="X29" s="33" t="str">
        <f aca="false">IF($A29="","",$V29*$W29)</f>
        <v/>
      </c>
      <c r="Y29" s="33" t="str">
        <f aca="false">IF($A29="","",$U29+$X29)</f>
        <v/>
      </c>
      <c r="Z29" s="33" t="str">
        <f aca="false">IF($A29="","",$D29-$U29)</f>
        <v/>
      </c>
      <c r="AA29" s="33" t="str">
        <f aca="false">IF($A29="","",$D29-$Y29)</f>
        <v/>
      </c>
      <c r="AB29" s="41" t="str">
        <f aca="false">IF(OR($A29="",$D29=0),"",$Z29/$D29)</f>
        <v/>
      </c>
      <c r="AC29" s="41" t="str">
        <f aca="false">IF(OR($A29="",$D29=0),"",$AA29/$D29)</f>
        <v/>
      </c>
      <c r="AD29" s="42" t="str">
        <f aca="false">IFERROR(IF($A29="","",$Z29/$V29),"")</f>
        <v/>
      </c>
    </row>
    <row r="30" customFormat="false" ht="18" hidden="false" customHeight="true" outlineLevel="0" collapsed="false">
      <c r="A30" s="30"/>
      <c r="B30" s="37" t="str">
        <f aca="false">IF($A30="","",IFERROR(INDEX('Fragrance Projects'!$C$5:$C$64,MATCH($A30,'Fragrance Projects'!$A$5:$A$64,0)),""))</f>
        <v/>
      </c>
      <c r="C30" s="37" t="str">
        <f aca="false">IF($A30="","",IFERROR(INDEX('Fragrance Projects'!$D$5:$D$64,MATCH($A30,'Fragrance Projects'!$A$5:$A$64,0)),""))</f>
        <v/>
      </c>
      <c r="D30" s="32"/>
      <c r="E30" s="33" t="str">
        <f aca="false">IF($A30="","",IFERROR(INDEX(Payments!$G$5:$G$64,MATCH($A30,Payments!$B$5:$B$64,0)),0)+IFERROR(INDEX(Payments!$K$5:$K$64,MATCH($A30,Payments!$B$5:$B$64,0)),0))</f>
        <v/>
      </c>
      <c r="F30" s="33" t="str">
        <f aca="false">IF($A30="","",$D30-$E30)</f>
        <v/>
      </c>
      <c r="G30" s="33" t="str">
        <f aca="false">IF($A30="","",SUMIFS('Expense Log'!$J$5:$J$154,'Expense Log'!$B$5:$B$154,$A30,'Expense Log'!$E$5:$E$154,"Raw Materials"))</f>
        <v/>
      </c>
      <c r="H30" s="33" t="str">
        <f aca="false">IF($A30="","",SUMIFS('Expense Log'!$J$5:$J$154,'Expense Log'!$B$5:$B$154,$A30,'Expense Log'!$E$5:$E$154,"Alcohol/Carrier"))</f>
        <v/>
      </c>
      <c r="I30" s="33" t="str">
        <f aca="false">IF($A30="","",SUMIFS('Expense Log'!$J$5:$J$154,'Expense Log'!$B$5:$B$154,$A30,'Expense Log'!$E$5:$E$154,"Bottles")+SUMIFS('Expense Log'!$J$5:$J$154,'Expense Log'!$B$5:$B$154,$A30,'Expense Log'!$E$5:$E$154,"Sample Vials"))</f>
        <v/>
      </c>
      <c r="J30" s="33" t="str">
        <f aca="false">IF($A30="","",SUMIFS('Expense Log'!$J$5:$J$154,'Expense Log'!$B$5:$B$154,$A30,'Expense Log'!$E$5:$E$154,"Packaging"))</f>
        <v/>
      </c>
      <c r="K30" s="33" t="str">
        <f aca="false">IF($A30="","",SUMIFS('Expense Log'!$J$5:$J$154,'Expense Log'!$B$5:$B$154,$A30,'Expense Log'!$E$5:$E$154,"Labels"))</f>
        <v/>
      </c>
      <c r="L30" s="33" t="str">
        <f aca="false">IF($A30="","",SUMIFS('Expense Log'!$J$5:$J$154,'Expense Log'!$B$5:$B$154,$A30,'Expense Log'!$E$5:$E$154,"Shipping"))</f>
        <v/>
      </c>
      <c r="M30" s="33" t="str">
        <f aca="false">IF($A30="","",SUMIFS('Expense Log'!$J$5:$J$154,'Expense Log'!$B$5:$B$154,$A30,'Expense Log'!$E$5:$E$154,"Documentation"))</f>
        <v/>
      </c>
      <c r="N30" s="33" t="str">
        <f aca="false">IF($A30="","",SUMIFS('Expense Log'!$J$5:$J$154,'Expense Log'!$B$5:$B$154,$A30,'Expense Log'!$E$5:$E$154,"SDS"))</f>
        <v/>
      </c>
      <c r="O30" s="33" t="str">
        <f aca="false">IF($A30="","",SUMIFS('Expense Log'!$J$5:$J$154,'Expense Log'!$B$5:$B$154,$A30,'Expense Log'!$E$5:$E$154,"IFRA/Allergen"))</f>
        <v/>
      </c>
      <c r="P30" s="33" t="str">
        <f aca="false">IF($A30="","",SUMIFS('Expense Log'!$J$5:$J$154,'Expense Log'!$B$5:$B$154,$A30,'Expense Log'!$E$5:$E$154,"CPSR"))</f>
        <v/>
      </c>
      <c r="Q30" s="33" t="str">
        <f aca="false">IF($A30="","",SUMIFS('Expense Log'!$J$5:$J$154,'Expense Log'!$B$5:$B$154,$A30,'Expense Log'!$E$5:$E$154,"Compounding"))</f>
        <v/>
      </c>
      <c r="R30" s="33" t="str">
        <f aca="false">IF($A30="","",SUMIFS('Expense Log'!$J$5:$J$154,'Expense Log'!$B$5:$B$154,$A30,'Expense Log'!$E$5:$E$154,"External Perfumer"))</f>
        <v/>
      </c>
      <c r="S30" s="33" t="str">
        <f aca="false">IF($A30="","",SUMIFS('Expense Log'!$J$5:$J$154,'Expense Log'!$B$5:$B$154,$A30,'Expense Log'!$E$5:$E$154,"Payment Fees"))</f>
        <v/>
      </c>
      <c r="T30" s="33" t="str">
        <f aca="false">IF($A30="","",SUMIFS('Expense Log'!$J$5:$J$154,'Expense Log'!$B$5:$B$154,$A30,'Expense Log'!$E$5:$E$154,"Testing")+SUMIFS('Expense Log'!$J$5:$J$154,'Expense Log'!$B$5:$B$154,$A30,'Expense Log'!$E$5:$E$154,"Software")+SUMIFS('Expense Log'!$J$5:$J$154,'Expense Log'!$B$5:$B$154,$A30,'Expense Log'!$E$5:$E$154,"Other"))</f>
        <v/>
      </c>
      <c r="U30" s="33" t="str">
        <f aca="false">IF($A30="","",SUM($G30:$T30))</f>
        <v/>
      </c>
      <c r="V30" s="39" t="str">
        <f aca="false">IF($A30="","",SUMIFS('Iteration Tracker'!$T$5:$T$124,'Iteration Tracker'!$A$5:$A$124,$A30))</f>
        <v/>
      </c>
      <c r="W30" s="40"/>
      <c r="X30" s="33" t="str">
        <f aca="false">IF($A30="","",$V30*$W30)</f>
        <v/>
      </c>
      <c r="Y30" s="33" t="str">
        <f aca="false">IF($A30="","",$U30+$X30)</f>
        <v/>
      </c>
      <c r="Z30" s="33" t="str">
        <f aca="false">IF($A30="","",$D30-$U30)</f>
        <v/>
      </c>
      <c r="AA30" s="33" t="str">
        <f aca="false">IF($A30="","",$D30-$Y30)</f>
        <v/>
      </c>
      <c r="AB30" s="41" t="str">
        <f aca="false">IF(OR($A30="",$D30=0),"",$Z30/$D30)</f>
        <v/>
      </c>
      <c r="AC30" s="41" t="str">
        <f aca="false">IF(OR($A30="",$D30=0),"",$AA30/$D30)</f>
        <v/>
      </c>
      <c r="AD30" s="42" t="str">
        <f aca="false">IFERROR(IF($A30="","",$Z30/$V30),"")</f>
        <v/>
      </c>
    </row>
    <row r="31" customFormat="false" ht="18" hidden="false" customHeight="true" outlineLevel="0" collapsed="false">
      <c r="A31" s="30"/>
      <c r="B31" s="37" t="str">
        <f aca="false">IF($A31="","",IFERROR(INDEX('Fragrance Projects'!$C$5:$C$64,MATCH($A31,'Fragrance Projects'!$A$5:$A$64,0)),""))</f>
        <v/>
      </c>
      <c r="C31" s="37" t="str">
        <f aca="false">IF($A31="","",IFERROR(INDEX('Fragrance Projects'!$D$5:$D$64,MATCH($A31,'Fragrance Projects'!$A$5:$A$64,0)),""))</f>
        <v/>
      </c>
      <c r="D31" s="32"/>
      <c r="E31" s="33" t="str">
        <f aca="false">IF($A31="","",IFERROR(INDEX(Payments!$G$5:$G$64,MATCH($A31,Payments!$B$5:$B$64,0)),0)+IFERROR(INDEX(Payments!$K$5:$K$64,MATCH($A31,Payments!$B$5:$B$64,0)),0))</f>
        <v/>
      </c>
      <c r="F31" s="33" t="str">
        <f aca="false">IF($A31="","",$D31-$E31)</f>
        <v/>
      </c>
      <c r="G31" s="33" t="str">
        <f aca="false">IF($A31="","",SUMIFS('Expense Log'!$J$5:$J$154,'Expense Log'!$B$5:$B$154,$A31,'Expense Log'!$E$5:$E$154,"Raw Materials"))</f>
        <v/>
      </c>
      <c r="H31" s="33" t="str">
        <f aca="false">IF($A31="","",SUMIFS('Expense Log'!$J$5:$J$154,'Expense Log'!$B$5:$B$154,$A31,'Expense Log'!$E$5:$E$154,"Alcohol/Carrier"))</f>
        <v/>
      </c>
      <c r="I31" s="33" t="str">
        <f aca="false">IF($A31="","",SUMIFS('Expense Log'!$J$5:$J$154,'Expense Log'!$B$5:$B$154,$A31,'Expense Log'!$E$5:$E$154,"Bottles")+SUMIFS('Expense Log'!$J$5:$J$154,'Expense Log'!$B$5:$B$154,$A31,'Expense Log'!$E$5:$E$154,"Sample Vials"))</f>
        <v/>
      </c>
      <c r="J31" s="33" t="str">
        <f aca="false">IF($A31="","",SUMIFS('Expense Log'!$J$5:$J$154,'Expense Log'!$B$5:$B$154,$A31,'Expense Log'!$E$5:$E$154,"Packaging"))</f>
        <v/>
      </c>
      <c r="K31" s="33" t="str">
        <f aca="false">IF($A31="","",SUMIFS('Expense Log'!$J$5:$J$154,'Expense Log'!$B$5:$B$154,$A31,'Expense Log'!$E$5:$E$154,"Labels"))</f>
        <v/>
      </c>
      <c r="L31" s="33" t="str">
        <f aca="false">IF($A31="","",SUMIFS('Expense Log'!$J$5:$J$154,'Expense Log'!$B$5:$B$154,$A31,'Expense Log'!$E$5:$E$154,"Shipping"))</f>
        <v/>
      </c>
      <c r="M31" s="33" t="str">
        <f aca="false">IF($A31="","",SUMIFS('Expense Log'!$J$5:$J$154,'Expense Log'!$B$5:$B$154,$A31,'Expense Log'!$E$5:$E$154,"Documentation"))</f>
        <v/>
      </c>
      <c r="N31" s="33" t="str">
        <f aca="false">IF($A31="","",SUMIFS('Expense Log'!$J$5:$J$154,'Expense Log'!$B$5:$B$154,$A31,'Expense Log'!$E$5:$E$154,"SDS"))</f>
        <v/>
      </c>
      <c r="O31" s="33" t="str">
        <f aca="false">IF($A31="","",SUMIFS('Expense Log'!$J$5:$J$154,'Expense Log'!$B$5:$B$154,$A31,'Expense Log'!$E$5:$E$154,"IFRA/Allergen"))</f>
        <v/>
      </c>
      <c r="P31" s="33" t="str">
        <f aca="false">IF($A31="","",SUMIFS('Expense Log'!$J$5:$J$154,'Expense Log'!$B$5:$B$154,$A31,'Expense Log'!$E$5:$E$154,"CPSR"))</f>
        <v/>
      </c>
      <c r="Q31" s="33" t="str">
        <f aca="false">IF($A31="","",SUMIFS('Expense Log'!$J$5:$J$154,'Expense Log'!$B$5:$B$154,$A31,'Expense Log'!$E$5:$E$154,"Compounding"))</f>
        <v/>
      </c>
      <c r="R31" s="33" t="str">
        <f aca="false">IF($A31="","",SUMIFS('Expense Log'!$J$5:$J$154,'Expense Log'!$B$5:$B$154,$A31,'Expense Log'!$E$5:$E$154,"External Perfumer"))</f>
        <v/>
      </c>
      <c r="S31" s="33" t="str">
        <f aca="false">IF($A31="","",SUMIFS('Expense Log'!$J$5:$J$154,'Expense Log'!$B$5:$B$154,$A31,'Expense Log'!$E$5:$E$154,"Payment Fees"))</f>
        <v/>
      </c>
      <c r="T31" s="33" t="str">
        <f aca="false">IF($A31="","",SUMIFS('Expense Log'!$J$5:$J$154,'Expense Log'!$B$5:$B$154,$A31,'Expense Log'!$E$5:$E$154,"Testing")+SUMIFS('Expense Log'!$J$5:$J$154,'Expense Log'!$B$5:$B$154,$A31,'Expense Log'!$E$5:$E$154,"Software")+SUMIFS('Expense Log'!$J$5:$J$154,'Expense Log'!$B$5:$B$154,$A31,'Expense Log'!$E$5:$E$154,"Other"))</f>
        <v/>
      </c>
      <c r="U31" s="33" t="str">
        <f aca="false">IF($A31="","",SUM($G31:$T31))</f>
        <v/>
      </c>
      <c r="V31" s="39" t="str">
        <f aca="false">IF($A31="","",SUMIFS('Iteration Tracker'!$T$5:$T$124,'Iteration Tracker'!$A$5:$A$124,$A31))</f>
        <v/>
      </c>
      <c r="W31" s="40"/>
      <c r="X31" s="33" t="str">
        <f aca="false">IF($A31="","",$V31*$W31)</f>
        <v/>
      </c>
      <c r="Y31" s="33" t="str">
        <f aca="false">IF($A31="","",$U31+$X31)</f>
        <v/>
      </c>
      <c r="Z31" s="33" t="str">
        <f aca="false">IF($A31="","",$D31-$U31)</f>
        <v/>
      </c>
      <c r="AA31" s="33" t="str">
        <f aca="false">IF($A31="","",$D31-$Y31)</f>
        <v/>
      </c>
      <c r="AB31" s="41" t="str">
        <f aca="false">IF(OR($A31="",$D31=0),"",$Z31/$D31)</f>
        <v/>
      </c>
      <c r="AC31" s="41" t="str">
        <f aca="false">IF(OR($A31="",$D31=0),"",$AA31/$D31)</f>
        <v/>
      </c>
      <c r="AD31" s="42" t="str">
        <f aca="false">IFERROR(IF($A31="","",$Z31/$V31),"")</f>
        <v/>
      </c>
    </row>
    <row r="32" customFormat="false" ht="18" hidden="false" customHeight="true" outlineLevel="0" collapsed="false">
      <c r="A32" s="30"/>
      <c r="B32" s="37" t="str">
        <f aca="false">IF($A32="","",IFERROR(INDEX('Fragrance Projects'!$C$5:$C$64,MATCH($A32,'Fragrance Projects'!$A$5:$A$64,0)),""))</f>
        <v/>
      </c>
      <c r="C32" s="37" t="str">
        <f aca="false">IF($A32="","",IFERROR(INDEX('Fragrance Projects'!$D$5:$D$64,MATCH($A32,'Fragrance Projects'!$A$5:$A$64,0)),""))</f>
        <v/>
      </c>
      <c r="D32" s="32"/>
      <c r="E32" s="33" t="str">
        <f aca="false">IF($A32="","",IFERROR(INDEX(Payments!$G$5:$G$64,MATCH($A32,Payments!$B$5:$B$64,0)),0)+IFERROR(INDEX(Payments!$K$5:$K$64,MATCH($A32,Payments!$B$5:$B$64,0)),0))</f>
        <v/>
      </c>
      <c r="F32" s="33" t="str">
        <f aca="false">IF($A32="","",$D32-$E32)</f>
        <v/>
      </c>
      <c r="G32" s="33" t="str">
        <f aca="false">IF($A32="","",SUMIFS('Expense Log'!$J$5:$J$154,'Expense Log'!$B$5:$B$154,$A32,'Expense Log'!$E$5:$E$154,"Raw Materials"))</f>
        <v/>
      </c>
      <c r="H32" s="33" t="str">
        <f aca="false">IF($A32="","",SUMIFS('Expense Log'!$J$5:$J$154,'Expense Log'!$B$5:$B$154,$A32,'Expense Log'!$E$5:$E$154,"Alcohol/Carrier"))</f>
        <v/>
      </c>
      <c r="I32" s="33" t="str">
        <f aca="false">IF($A32="","",SUMIFS('Expense Log'!$J$5:$J$154,'Expense Log'!$B$5:$B$154,$A32,'Expense Log'!$E$5:$E$154,"Bottles")+SUMIFS('Expense Log'!$J$5:$J$154,'Expense Log'!$B$5:$B$154,$A32,'Expense Log'!$E$5:$E$154,"Sample Vials"))</f>
        <v/>
      </c>
      <c r="J32" s="33" t="str">
        <f aca="false">IF($A32="","",SUMIFS('Expense Log'!$J$5:$J$154,'Expense Log'!$B$5:$B$154,$A32,'Expense Log'!$E$5:$E$154,"Packaging"))</f>
        <v/>
      </c>
      <c r="K32" s="33" t="str">
        <f aca="false">IF($A32="","",SUMIFS('Expense Log'!$J$5:$J$154,'Expense Log'!$B$5:$B$154,$A32,'Expense Log'!$E$5:$E$154,"Labels"))</f>
        <v/>
      </c>
      <c r="L32" s="33" t="str">
        <f aca="false">IF($A32="","",SUMIFS('Expense Log'!$J$5:$J$154,'Expense Log'!$B$5:$B$154,$A32,'Expense Log'!$E$5:$E$154,"Shipping"))</f>
        <v/>
      </c>
      <c r="M32" s="33" t="str">
        <f aca="false">IF($A32="","",SUMIFS('Expense Log'!$J$5:$J$154,'Expense Log'!$B$5:$B$154,$A32,'Expense Log'!$E$5:$E$154,"Documentation"))</f>
        <v/>
      </c>
      <c r="N32" s="33" t="str">
        <f aca="false">IF($A32="","",SUMIFS('Expense Log'!$J$5:$J$154,'Expense Log'!$B$5:$B$154,$A32,'Expense Log'!$E$5:$E$154,"SDS"))</f>
        <v/>
      </c>
      <c r="O32" s="33" t="str">
        <f aca="false">IF($A32="","",SUMIFS('Expense Log'!$J$5:$J$154,'Expense Log'!$B$5:$B$154,$A32,'Expense Log'!$E$5:$E$154,"IFRA/Allergen"))</f>
        <v/>
      </c>
      <c r="P32" s="33" t="str">
        <f aca="false">IF($A32="","",SUMIFS('Expense Log'!$J$5:$J$154,'Expense Log'!$B$5:$B$154,$A32,'Expense Log'!$E$5:$E$154,"CPSR"))</f>
        <v/>
      </c>
      <c r="Q32" s="33" t="str">
        <f aca="false">IF($A32="","",SUMIFS('Expense Log'!$J$5:$J$154,'Expense Log'!$B$5:$B$154,$A32,'Expense Log'!$E$5:$E$154,"Compounding"))</f>
        <v/>
      </c>
      <c r="R32" s="33" t="str">
        <f aca="false">IF($A32="","",SUMIFS('Expense Log'!$J$5:$J$154,'Expense Log'!$B$5:$B$154,$A32,'Expense Log'!$E$5:$E$154,"External Perfumer"))</f>
        <v/>
      </c>
      <c r="S32" s="33" t="str">
        <f aca="false">IF($A32="","",SUMIFS('Expense Log'!$J$5:$J$154,'Expense Log'!$B$5:$B$154,$A32,'Expense Log'!$E$5:$E$154,"Payment Fees"))</f>
        <v/>
      </c>
      <c r="T32" s="33" t="str">
        <f aca="false">IF($A32="","",SUMIFS('Expense Log'!$J$5:$J$154,'Expense Log'!$B$5:$B$154,$A32,'Expense Log'!$E$5:$E$154,"Testing")+SUMIFS('Expense Log'!$J$5:$J$154,'Expense Log'!$B$5:$B$154,$A32,'Expense Log'!$E$5:$E$154,"Software")+SUMIFS('Expense Log'!$J$5:$J$154,'Expense Log'!$B$5:$B$154,$A32,'Expense Log'!$E$5:$E$154,"Other"))</f>
        <v/>
      </c>
      <c r="U32" s="33" t="str">
        <f aca="false">IF($A32="","",SUM($G32:$T32))</f>
        <v/>
      </c>
      <c r="V32" s="39" t="str">
        <f aca="false">IF($A32="","",SUMIFS('Iteration Tracker'!$T$5:$T$124,'Iteration Tracker'!$A$5:$A$124,$A32))</f>
        <v/>
      </c>
      <c r="W32" s="40"/>
      <c r="X32" s="33" t="str">
        <f aca="false">IF($A32="","",$V32*$W32)</f>
        <v/>
      </c>
      <c r="Y32" s="33" t="str">
        <f aca="false">IF($A32="","",$U32+$X32)</f>
        <v/>
      </c>
      <c r="Z32" s="33" t="str">
        <f aca="false">IF($A32="","",$D32-$U32)</f>
        <v/>
      </c>
      <c r="AA32" s="33" t="str">
        <f aca="false">IF($A32="","",$D32-$Y32)</f>
        <v/>
      </c>
      <c r="AB32" s="41" t="str">
        <f aca="false">IF(OR($A32="",$D32=0),"",$Z32/$D32)</f>
        <v/>
      </c>
      <c r="AC32" s="41" t="str">
        <f aca="false">IF(OR($A32="",$D32=0),"",$AA32/$D32)</f>
        <v/>
      </c>
      <c r="AD32" s="42" t="str">
        <f aca="false">IFERROR(IF($A32="","",$Z32/$V32),"")</f>
        <v/>
      </c>
    </row>
    <row r="33" customFormat="false" ht="18" hidden="false" customHeight="true" outlineLevel="0" collapsed="false">
      <c r="A33" s="30"/>
      <c r="B33" s="37" t="str">
        <f aca="false">IF($A33="","",IFERROR(INDEX('Fragrance Projects'!$C$5:$C$64,MATCH($A33,'Fragrance Projects'!$A$5:$A$64,0)),""))</f>
        <v/>
      </c>
      <c r="C33" s="37" t="str">
        <f aca="false">IF($A33="","",IFERROR(INDEX('Fragrance Projects'!$D$5:$D$64,MATCH($A33,'Fragrance Projects'!$A$5:$A$64,0)),""))</f>
        <v/>
      </c>
      <c r="D33" s="32"/>
      <c r="E33" s="33" t="str">
        <f aca="false">IF($A33="","",IFERROR(INDEX(Payments!$G$5:$G$64,MATCH($A33,Payments!$B$5:$B$64,0)),0)+IFERROR(INDEX(Payments!$K$5:$K$64,MATCH($A33,Payments!$B$5:$B$64,0)),0))</f>
        <v/>
      </c>
      <c r="F33" s="33" t="str">
        <f aca="false">IF($A33="","",$D33-$E33)</f>
        <v/>
      </c>
      <c r="G33" s="33" t="str">
        <f aca="false">IF($A33="","",SUMIFS('Expense Log'!$J$5:$J$154,'Expense Log'!$B$5:$B$154,$A33,'Expense Log'!$E$5:$E$154,"Raw Materials"))</f>
        <v/>
      </c>
      <c r="H33" s="33" t="str">
        <f aca="false">IF($A33="","",SUMIFS('Expense Log'!$J$5:$J$154,'Expense Log'!$B$5:$B$154,$A33,'Expense Log'!$E$5:$E$154,"Alcohol/Carrier"))</f>
        <v/>
      </c>
      <c r="I33" s="33" t="str">
        <f aca="false">IF($A33="","",SUMIFS('Expense Log'!$J$5:$J$154,'Expense Log'!$B$5:$B$154,$A33,'Expense Log'!$E$5:$E$154,"Bottles")+SUMIFS('Expense Log'!$J$5:$J$154,'Expense Log'!$B$5:$B$154,$A33,'Expense Log'!$E$5:$E$154,"Sample Vials"))</f>
        <v/>
      </c>
      <c r="J33" s="33" t="str">
        <f aca="false">IF($A33="","",SUMIFS('Expense Log'!$J$5:$J$154,'Expense Log'!$B$5:$B$154,$A33,'Expense Log'!$E$5:$E$154,"Packaging"))</f>
        <v/>
      </c>
      <c r="K33" s="33" t="str">
        <f aca="false">IF($A33="","",SUMIFS('Expense Log'!$J$5:$J$154,'Expense Log'!$B$5:$B$154,$A33,'Expense Log'!$E$5:$E$154,"Labels"))</f>
        <v/>
      </c>
      <c r="L33" s="33" t="str">
        <f aca="false">IF($A33="","",SUMIFS('Expense Log'!$J$5:$J$154,'Expense Log'!$B$5:$B$154,$A33,'Expense Log'!$E$5:$E$154,"Shipping"))</f>
        <v/>
      </c>
      <c r="M33" s="33" t="str">
        <f aca="false">IF($A33="","",SUMIFS('Expense Log'!$J$5:$J$154,'Expense Log'!$B$5:$B$154,$A33,'Expense Log'!$E$5:$E$154,"Documentation"))</f>
        <v/>
      </c>
      <c r="N33" s="33" t="str">
        <f aca="false">IF($A33="","",SUMIFS('Expense Log'!$J$5:$J$154,'Expense Log'!$B$5:$B$154,$A33,'Expense Log'!$E$5:$E$154,"SDS"))</f>
        <v/>
      </c>
      <c r="O33" s="33" t="str">
        <f aca="false">IF($A33="","",SUMIFS('Expense Log'!$J$5:$J$154,'Expense Log'!$B$5:$B$154,$A33,'Expense Log'!$E$5:$E$154,"IFRA/Allergen"))</f>
        <v/>
      </c>
      <c r="P33" s="33" t="str">
        <f aca="false">IF($A33="","",SUMIFS('Expense Log'!$J$5:$J$154,'Expense Log'!$B$5:$B$154,$A33,'Expense Log'!$E$5:$E$154,"CPSR"))</f>
        <v/>
      </c>
      <c r="Q33" s="33" t="str">
        <f aca="false">IF($A33="","",SUMIFS('Expense Log'!$J$5:$J$154,'Expense Log'!$B$5:$B$154,$A33,'Expense Log'!$E$5:$E$154,"Compounding"))</f>
        <v/>
      </c>
      <c r="R33" s="33" t="str">
        <f aca="false">IF($A33="","",SUMIFS('Expense Log'!$J$5:$J$154,'Expense Log'!$B$5:$B$154,$A33,'Expense Log'!$E$5:$E$154,"External Perfumer"))</f>
        <v/>
      </c>
      <c r="S33" s="33" t="str">
        <f aca="false">IF($A33="","",SUMIFS('Expense Log'!$J$5:$J$154,'Expense Log'!$B$5:$B$154,$A33,'Expense Log'!$E$5:$E$154,"Payment Fees"))</f>
        <v/>
      </c>
      <c r="T33" s="33" t="str">
        <f aca="false">IF($A33="","",SUMIFS('Expense Log'!$J$5:$J$154,'Expense Log'!$B$5:$B$154,$A33,'Expense Log'!$E$5:$E$154,"Testing")+SUMIFS('Expense Log'!$J$5:$J$154,'Expense Log'!$B$5:$B$154,$A33,'Expense Log'!$E$5:$E$154,"Software")+SUMIFS('Expense Log'!$J$5:$J$154,'Expense Log'!$B$5:$B$154,$A33,'Expense Log'!$E$5:$E$154,"Other"))</f>
        <v/>
      </c>
      <c r="U33" s="33" t="str">
        <f aca="false">IF($A33="","",SUM($G33:$T33))</f>
        <v/>
      </c>
      <c r="V33" s="39" t="str">
        <f aca="false">IF($A33="","",SUMIFS('Iteration Tracker'!$T$5:$T$124,'Iteration Tracker'!$A$5:$A$124,$A33))</f>
        <v/>
      </c>
      <c r="W33" s="40"/>
      <c r="X33" s="33" t="str">
        <f aca="false">IF($A33="","",$V33*$W33)</f>
        <v/>
      </c>
      <c r="Y33" s="33" t="str">
        <f aca="false">IF($A33="","",$U33+$X33)</f>
        <v/>
      </c>
      <c r="Z33" s="33" t="str">
        <f aca="false">IF($A33="","",$D33-$U33)</f>
        <v/>
      </c>
      <c r="AA33" s="33" t="str">
        <f aca="false">IF($A33="","",$D33-$Y33)</f>
        <v/>
      </c>
      <c r="AB33" s="41" t="str">
        <f aca="false">IF(OR($A33="",$D33=0),"",$Z33/$D33)</f>
        <v/>
      </c>
      <c r="AC33" s="41" t="str">
        <f aca="false">IF(OR($A33="",$D33=0),"",$AA33/$D33)</f>
        <v/>
      </c>
      <c r="AD33" s="42" t="str">
        <f aca="false">IFERROR(IF($A33="","",$Z33/$V33),"")</f>
        <v/>
      </c>
    </row>
    <row r="34" customFormat="false" ht="18" hidden="false" customHeight="true" outlineLevel="0" collapsed="false">
      <c r="A34" s="30"/>
      <c r="B34" s="37" t="str">
        <f aca="false">IF($A34="","",IFERROR(INDEX('Fragrance Projects'!$C$5:$C$64,MATCH($A34,'Fragrance Projects'!$A$5:$A$64,0)),""))</f>
        <v/>
      </c>
      <c r="C34" s="37" t="str">
        <f aca="false">IF($A34="","",IFERROR(INDEX('Fragrance Projects'!$D$5:$D$64,MATCH($A34,'Fragrance Projects'!$A$5:$A$64,0)),""))</f>
        <v/>
      </c>
      <c r="D34" s="32"/>
      <c r="E34" s="33" t="str">
        <f aca="false">IF($A34="","",IFERROR(INDEX(Payments!$G$5:$G$64,MATCH($A34,Payments!$B$5:$B$64,0)),0)+IFERROR(INDEX(Payments!$K$5:$K$64,MATCH($A34,Payments!$B$5:$B$64,0)),0))</f>
        <v/>
      </c>
      <c r="F34" s="33" t="str">
        <f aca="false">IF($A34="","",$D34-$E34)</f>
        <v/>
      </c>
      <c r="G34" s="33" t="str">
        <f aca="false">IF($A34="","",SUMIFS('Expense Log'!$J$5:$J$154,'Expense Log'!$B$5:$B$154,$A34,'Expense Log'!$E$5:$E$154,"Raw Materials"))</f>
        <v/>
      </c>
      <c r="H34" s="33" t="str">
        <f aca="false">IF($A34="","",SUMIFS('Expense Log'!$J$5:$J$154,'Expense Log'!$B$5:$B$154,$A34,'Expense Log'!$E$5:$E$154,"Alcohol/Carrier"))</f>
        <v/>
      </c>
      <c r="I34" s="33" t="str">
        <f aca="false">IF($A34="","",SUMIFS('Expense Log'!$J$5:$J$154,'Expense Log'!$B$5:$B$154,$A34,'Expense Log'!$E$5:$E$154,"Bottles")+SUMIFS('Expense Log'!$J$5:$J$154,'Expense Log'!$B$5:$B$154,$A34,'Expense Log'!$E$5:$E$154,"Sample Vials"))</f>
        <v/>
      </c>
      <c r="J34" s="33" t="str">
        <f aca="false">IF($A34="","",SUMIFS('Expense Log'!$J$5:$J$154,'Expense Log'!$B$5:$B$154,$A34,'Expense Log'!$E$5:$E$154,"Packaging"))</f>
        <v/>
      </c>
      <c r="K34" s="33" t="str">
        <f aca="false">IF($A34="","",SUMIFS('Expense Log'!$J$5:$J$154,'Expense Log'!$B$5:$B$154,$A34,'Expense Log'!$E$5:$E$154,"Labels"))</f>
        <v/>
      </c>
      <c r="L34" s="33" t="str">
        <f aca="false">IF($A34="","",SUMIFS('Expense Log'!$J$5:$J$154,'Expense Log'!$B$5:$B$154,$A34,'Expense Log'!$E$5:$E$154,"Shipping"))</f>
        <v/>
      </c>
      <c r="M34" s="33" t="str">
        <f aca="false">IF($A34="","",SUMIFS('Expense Log'!$J$5:$J$154,'Expense Log'!$B$5:$B$154,$A34,'Expense Log'!$E$5:$E$154,"Documentation"))</f>
        <v/>
      </c>
      <c r="N34" s="33" t="str">
        <f aca="false">IF($A34="","",SUMIFS('Expense Log'!$J$5:$J$154,'Expense Log'!$B$5:$B$154,$A34,'Expense Log'!$E$5:$E$154,"SDS"))</f>
        <v/>
      </c>
      <c r="O34" s="33" t="str">
        <f aca="false">IF($A34="","",SUMIFS('Expense Log'!$J$5:$J$154,'Expense Log'!$B$5:$B$154,$A34,'Expense Log'!$E$5:$E$154,"IFRA/Allergen"))</f>
        <v/>
      </c>
      <c r="P34" s="33" t="str">
        <f aca="false">IF($A34="","",SUMIFS('Expense Log'!$J$5:$J$154,'Expense Log'!$B$5:$B$154,$A34,'Expense Log'!$E$5:$E$154,"CPSR"))</f>
        <v/>
      </c>
      <c r="Q34" s="33" t="str">
        <f aca="false">IF($A34="","",SUMIFS('Expense Log'!$J$5:$J$154,'Expense Log'!$B$5:$B$154,$A34,'Expense Log'!$E$5:$E$154,"Compounding"))</f>
        <v/>
      </c>
      <c r="R34" s="33" t="str">
        <f aca="false">IF($A34="","",SUMIFS('Expense Log'!$J$5:$J$154,'Expense Log'!$B$5:$B$154,$A34,'Expense Log'!$E$5:$E$154,"External Perfumer"))</f>
        <v/>
      </c>
      <c r="S34" s="33" t="str">
        <f aca="false">IF($A34="","",SUMIFS('Expense Log'!$J$5:$J$154,'Expense Log'!$B$5:$B$154,$A34,'Expense Log'!$E$5:$E$154,"Payment Fees"))</f>
        <v/>
      </c>
      <c r="T34" s="33" t="str">
        <f aca="false">IF($A34="","",SUMIFS('Expense Log'!$J$5:$J$154,'Expense Log'!$B$5:$B$154,$A34,'Expense Log'!$E$5:$E$154,"Testing")+SUMIFS('Expense Log'!$J$5:$J$154,'Expense Log'!$B$5:$B$154,$A34,'Expense Log'!$E$5:$E$154,"Software")+SUMIFS('Expense Log'!$J$5:$J$154,'Expense Log'!$B$5:$B$154,$A34,'Expense Log'!$E$5:$E$154,"Other"))</f>
        <v/>
      </c>
      <c r="U34" s="33" t="str">
        <f aca="false">IF($A34="","",SUM($G34:$T34))</f>
        <v/>
      </c>
      <c r="V34" s="39" t="str">
        <f aca="false">IF($A34="","",SUMIFS('Iteration Tracker'!$T$5:$T$124,'Iteration Tracker'!$A$5:$A$124,$A34))</f>
        <v/>
      </c>
      <c r="W34" s="40"/>
      <c r="X34" s="33" t="str">
        <f aca="false">IF($A34="","",$V34*$W34)</f>
        <v/>
      </c>
      <c r="Y34" s="33" t="str">
        <f aca="false">IF($A34="","",$U34+$X34)</f>
        <v/>
      </c>
      <c r="Z34" s="33" t="str">
        <f aca="false">IF($A34="","",$D34-$U34)</f>
        <v/>
      </c>
      <c r="AA34" s="33" t="str">
        <f aca="false">IF($A34="","",$D34-$Y34)</f>
        <v/>
      </c>
      <c r="AB34" s="41" t="str">
        <f aca="false">IF(OR($A34="",$D34=0),"",$Z34/$D34)</f>
        <v/>
      </c>
      <c r="AC34" s="41" t="str">
        <f aca="false">IF(OR($A34="",$D34=0),"",$AA34/$D34)</f>
        <v/>
      </c>
      <c r="AD34" s="42" t="str">
        <f aca="false">IFERROR(IF($A34="","",$Z34/$V34),"")</f>
        <v/>
      </c>
    </row>
    <row r="35" customFormat="false" ht="18" hidden="false" customHeight="true" outlineLevel="0" collapsed="false">
      <c r="A35" s="30"/>
      <c r="B35" s="37" t="str">
        <f aca="false">IF($A35="","",IFERROR(INDEX('Fragrance Projects'!$C$5:$C$64,MATCH($A35,'Fragrance Projects'!$A$5:$A$64,0)),""))</f>
        <v/>
      </c>
      <c r="C35" s="37" t="str">
        <f aca="false">IF($A35="","",IFERROR(INDEX('Fragrance Projects'!$D$5:$D$64,MATCH($A35,'Fragrance Projects'!$A$5:$A$64,0)),""))</f>
        <v/>
      </c>
      <c r="D35" s="32"/>
      <c r="E35" s="33" t="str">
        <f aca="false">IF($A35="","",IFERROR(INDEX(Payments!$G$5:$G$64,MATCH($A35,Payments!$B$5:$B$64,0)),0)+IFERROR(INDEX(Payments!$K$5:$K$64,MATCH($A35,Payments!$B$5:$B$64,0)),0))</f>
        <v/>
      </c>
      <c r="F35" s="33" t="str">
        <f aca="false">IF($A35="","",$D35-$E35)</f>
        <v/>
      </c>
      <c r="G35" s="33" t="str">
        <f aca="false">IF($A35="","",SUMIFS('Expense Log'!$J$5:$J$154,'Expense Log'!$B$5:$B$154,$A35,'Expense Log'!$E$5:$E$154,"Raw Materials"))</f>
        <v/>
      </c>
      <c r="H35" s="33" t="str">
        <f aca="false">IF($A35="","",SUMIFS('Expense Log'!$J$5:$J$154,'Expense Log'!$B$5:$B$154,$A35,'Expense Log'!$E$5:$E$154,"Alcohol/Carrier"))</f>
        <v/>
      </c>
      <c r="I35" s="33" t="str">
        <f aca="false">IF($A35="","",SUMIFS('Expense Log'!$J$5:$J$154,'Expense Log'!$B$5:$B$154,$A35,'Expense Log'!$E$5:$E$154,"Bottles")+SUMIFS('Expense Log'!$J$5:$J$154,'Expense Log'!$B$5:$B$154,$A35,'Expense Log'!$E$5:$E$154,"Sample Vials"))</f>
        <v/>
      </c>
      <c r="J35" s="33" t="str">
        <f aca="false">IF($A35="","",SUMIFS('Expense Log'!$J$5:$J$154,'Expense Log'!$B$5:$B$154,$A35,'Expense Log'!$E$5:$E$154,"Packaging"))</f>
        <v/>
      </c>
      <c r="K35" s="33" t="str">
        <f aca="false">IF($A35="","",SUMIFS('Expense Log'!$J$5:$J$154,'Expense Log'!$B$5:$B$154,$A35,'Expense Log'!$E$5:$E$154,"Labels"))</f>
        <v/>
      </c>
      <c r="L35" s="33" t="str">
        <f aca="false">IF($A35="","",SUMIFS('Expense Log'!$J$5:$J$154,'Expense Log'!$B$5:$B$154,$A35,'Expense Log'!$E$5:$E$154,"Shipping"))</f>
        <v/>
      </c>
      <c r="M35" s="33" t="str">
        <f aca="false">IF($A35="","",SUMIFS('Expense Log'!$J$5:$J$154,'Expense Log'!$B$5:$B$154,$A35,'Expense Log'!$E$5:$E$154,"Documentation"))</f>
        <v/>
      </c>
      <c r="N35" s="33" t="str">
        <f aca="false">IF($A35="","",SUMIFS('Expense Log'!$J$5:$J$154,'Expense Log'!$B$5:$B$154,$A35,'Expense Log'!$E$5:$E$154,"SDS"))</f>
        <v/>
      </c>
      <c r="O35" s="33" t="str">
        <f aca="false">IF($A35="","",SUMIFS('Expense Log'!$J$5:$J$154,'Expense Log'!$B$5:$B$154,$A35,'Expense Log'!$E$5:$E$154,"IFRA/Allergen"))</f>
        <v/>
      </c>
      <c r="P35" s="33" t="str">
        <f aca="false">IF($A35="","",SUMIFS('Expense Log'!$J$5:$J$154,'Expense Log'!$B$5:$B$154,$A35,'Expense Log'!$E$5:$E$154,"CPSR"))</f>
        <v/>
      </c>
      <c r="Q35" s="33" t="str">
        <f aca="false">IF($A35="","",SUMIFS('Expense Log'!$J$5:$J$154,'Expense Log'!$B$5:$B$154,$A35,'Expense Log'!$E$5:$E$154,"Compounding"))</f>
        <v/>
      </c>
      <c r="R35" s="33" t="str">
        <f aca="false">IF($A35="","",SUMIFS('Expense Log'!$J$5:$J$154,'Expense Log'!$B$5:$B$154,$A35,'Expense Log'!$E$5:$E$154,"External Perfumer"))</f>
        <v/>
      </c>
      <c r="S35" s="33" t="str">
        <f aca="false">IF($A35="","",SUMIFS('Expense Log'!$J$5:$J$154,'Expense Log'!$B$5:$B$154,$A35,'Expense Log'!$E$5:$E$154,"Payment Fees"))</f>
        <v/>
      </c>
      <c r="T35" s="33" t="str">
        <f aca="false">IF($A35="","",SUMIFS('Expense Log'!$J$5:$J$154,'Expense Log'!$B$5:$B$154,$A35,'Expense Log'!$E$5:$E$154,"Testing")+SUMIFS('Expense Log'!$J$5:$J$154,'Expense Log'!$B$5:$B$154,$A35,'Expense Log'!$E$5:$E$154,"Software")+SUMIFS('Expense Log'!$J$5:$J$154,'Expense Log'!$B$5:$B$154,$A35,'Expense Log'!$E$5:$E$154,"Other"))</f>
        <v/>
      </c>
      <c r="U35" s="33" t="str">
        <f aca="false">IF($A35="","",SUM($G35:$T35))</f>
        <v/>
      </c>
      <c r="V35" s="39" t="str">
        <f aca="false">IF($A35="","",SUMIFS('Iteration Tracker'!$T$5:$T$124,'Iteration Tracker'!$A$5:$A$124,$A35))</f>
        <v/>
      </c>
      <c r="W35" s="40"/>
      <c r="X35" s="33" t="str">
        <f aca="false">IF($A35="","",$V35*$W35)</f>
        <v/>
      </c>
      <c r="Y35" s="33" t="str">
        <f aca="false">IF($A35="","",$U35+$X35)</f>
        <v/>
      </c>
      <c r="Z35" s="33" t="str">
        <f aca="false">IF($A35="","",$D35-$U35)</f>
        <v/>
      </c>
      <c r="AA35" s="33" t="str">
        <f aca="false">IF($A35="","",$D35-$Y35)</f>
        <v/>
      </c>
      <c r="AB35" s="41" t="str">
        <f aca="false">IF(OR($A35="",$D35=0),"",$Z35/$D35)</f>
        <v/>
      </c>
      <c r="AC35" s="41" t="str">
        <f aca="false">IF(OR($A35="",$D35=0),"",$AA35/$D35)</f>
        <v/>
      </c>
      <c r="AD35" s="42" t="str">
        <f aca="false">IFERROR(IF($A35="","",$Z35/$V35),"")</f>
        <v/>
      </c>
    </row>
    <row r="36" customFormat="false" ht="18" hidden="false" customHeight="true" outlineLevel="0" collapsed="false">
      <c r="A36" s="30"/>
      <c r="B36" s="37" t="str">
        <f aca="false">IF($A36="","",IFERROR(INDEX('Fragrance Projects'!$C$5:$C$64,MATCH($A36,'Fragrance Projects'!$A$5:$A$64,0)),""))</f>
        <v/>
      </c>
      <c r="C36" s="37" t="str">
        <f aca="false">IF($A36="","",IFERROR(INDEX('Fragrance Projects'!$D$5:$D$64,MATCH($A36,'Fragrance Projects'!$A$5:$A$64,0)),""))</f>
        <v/>
      </c>
      <c r="D36" s="32"/>
      <c r="E36" s="33" t="str">
        <f aca="false">IF($A36="","",IFERROR(INDEX(Payments!$G$5:$G$64,MATCH($A36,Payments!$B$5:$B$64,0)),0)+IFERROR(INDEX(Payments!$K$5:$K$64,MATCH($A36,Payments!$B$5:$B$64,0)),0))</f>
        <v/>
      </c>
      <c r="F36" s="33" t="str">
        <f aca="false">IF($A36="","",$D36-$E36)</f>
        <v/>
      </c>
      <c r="G36" s="33" t="str">
        <f aca="false">IF($A36="","",SUMIFS('Expense Log'!$J$5:$J$154,'Expense Log'!$B$5:$B$154,$A36,'Expense Log'!$E$5:$E$154,"Raw Materials"))</f>
        <v/>
      </c>
      <c r="H36" s="33" t="str">
        <f aca="false">IF($A36="","",SUMIFS('Expense Log'!$J$5:$J$154,'Expense Log'!$B$5:$B$154,$A36,'Expense Log'!$E$5:$E$154,"Alcohol/Carrier"))</f>
        <v/>
      </c>
      <c r="I36" s="33" t="str">
        <f aca="false">IF($A36="","",SUMIFS('Expense Log'!$J$5:$J$154,'Expense Log'!$B$5:$B$154,$A36,'Expense Log'!$E$5:$E$154,"Bottles")+SUMIFS('Expense Log'!$J$5:$J$154,'Expense Log'!$B$5:$B$154,$A36,'Expense Log'!$E$5:$E$154,"Sample Vials"))</f>
        <v/>
      </c>
      <c r="J36" s="33" t="str">
        <f aca="false">IF($A36="","",SUMIFS('Expense Log'!$J$5:$J$154,'Expense Log'!$B$5:$B$154,$A36,'Expense Log'!$E$5:$E$154,"Packaging"))</f>
        <v/>
      </c>
      <c r="K36" s="33" t="str">
        <f aca="false">IF($A36="","",SUMIFS('Expense Log'!$J$5:$J$154,'Expense Log'!$B$5:$B$154,$A36,'Expense Log'!$E$5:$E$154,"Labels"))</f>
        <v/>
      </c>
      <c r="L36" s="33" t="str">
        <f aca="false">IF($A36="","",SUMIFS('Expense Log'!$J$5:$J$154,'Expense Log'!$B$5:$B$154,$A36,'Expense Log'!$E$5:$E$154,"Shipping"))</f>
        <v/>
      </c>
      <c r="M36" s="33" t="str">
        <f aca="false">IF($A36="","",SUMIFS('Expense Log'!$J$5:$J$154,'Expense Log'!$B$5:$B$154,$A36,'Expense Log'!$E$5:$E$154,"Documentation"))</f>
        <v/>
      </c>
      <c r="N36" s="33" t="str">
        <f aca="false">IF($A36="","",SUMIFS('Expense Log'!$J$5:$J$154,'Expense Log'!$B$5:$B$154,$A36,'Expense Log'!$E$5:$E$154,"SDS"))</f>
        <v/>
      </c>
      <c r="O36" s="33" t="str">
        <f aca="false">IF($A36="","",SUMIFS('Expense Log'!$J$5:$J$154,'Expense Log'!$B$5:$B$154,$A36,'Expense Log'!$E$5:$E$154,"IFRA/Allergen"))</f>
        <v/>
      </c>
      <c r="P36" s="33" t="str">
        <f aca="false">IF($A36="","",SUMIFS('Expense Log'!$J$5:$J$154,'Expense Log'!$B$5:$B$154,$A36,'Expense Log'!$E$5:$E$154,"CPSR"))</f>
        <v/>
      </c>
      <c r="Q36" s="33" t="str">
        <f aca="false">IF($A36="","",SUMIFS('Expense Log'!$J$5:$J$154,'Expense Log'!$B$5:$B$154,$A36,'Expense Log'!$E$5:$E$154,"Compounding"))</f>
        <v/>
      </c>
      <c r="R36" s="33" t="str">
        <f aca="false">IF($A36="","",SUMIFS('Expense Log'!$J$5:$J$154,'Expense Log'!$B$5:$B$154,$A36,'Expense Log'!$E$5:$E$154,"External Perfumer"))</f>
        <v/>
      </c>
      <c r="S36" s="33" t="str">
        <f aca="false">IF($A36="","",SUMIFS('Expense Log'!$J$5:$J$154,'Expense Log'!$B$5:$B$154,$A36,'Expense Log'!$E$5:$E$154,"Payment Fees"))</f>
        <v/>
      </c>
      <c r="T36" s="33" t="str">
        <f aca="false">IF($A36="","",SUMIFS('Expense Log'!$J$5:$J$154,'Expense Log'!$B$5:$B$154,$A36,'Expense Log'!$E$5:$E$154,"Testing")+SUMIFS('Expense Log'!$J$5:$J$154,'Expense Log'!$B$5:$B$154,$A36,'Expense Log'!$E$5:$E$154,"Software")+SUMIFS('Expense Log'!$J$5:$J$154,'Expense Log'!$B$5:$B$154,$A36,'Expense Log'!$E$5:$E$154,"Other"))</f>
        <v/>
      </c>
      <c r="U36" s="33" t="str">
        <f aca="false">IF($A36="","",SUM($G36:$T36))</f>
        <v/>
      </c>
      <c r="V36" s="39" t="str">
        <f aca="false">IF($A36="","",SUMIFS('Iteration Tracker'!$T$5:$T$124,'Iteration Tracker'!$A$5:$A$124,$A36))</f>
        <v/>
      </c>
      <c r="W36" s="40"/>
      <c r="X36" s="33" t="str">
        <f aca="false">IF($A36="","",$V36*$W36)</f>
        <v/>
      </c>
      <c r="Y36" s="33" t="str">
        <f aca="false">IF($A36="","",$U36+$X36)</f>
        <v/>
      </c>
      <c r="Z36" s="33" t="str">
        <f aca="false">IF($A36="","",$D36-$U36)</f>
        <v/>
      </c>
      <c r="AA36" s="33" t="str">
        <f aca="false">IF($A36="","",$D36-$Y36)</f>
        <v/>
      </c>
      <c r="AB36" s="41" t="str">
        <f aca="false">IF(OR($A36="",$D36=0),"",$Z36/$D36)</f>
        <v/>
      </c>
      <c r="AC36" s="41" t="str">
        <f aca="false">IF(OR($A36="",$D36=0),"",$AA36/$D36)</f>
        <v/>
      </c>
      <c r="AD36" s="42" t="str">
        <f aca="false">IFERROR(IF($A36="","",$Z36/$V36),"")</f>
        <v/>
      </c>
    </row>
    <row r="37" customFormat="false" ht="18" hidden="false" customHeight="true" outlineLevel="0" collapsed="false">
      <c r="A37" s="30"/>
      <c r="B37" s="37" t="str">
        <f aca="false">IF($A37="","",IFERROR(INDEX('Fragrance Projects'!$C$5:$C$64,MATCH($A37,'Fragrance Projects'!$A$5:$A$64,0)),""))</f>
        <v/>
      </c>
      <c r="C37" s="37" t="str">
        <f aca="false">IF($A37="","",IFERROR(INDEX('Fragrance Projects'!$D$5:$D$64,MATCH($A37,'Fragrance Projects'!$A$5:$A$64,0)),""))</f>
        <v/>
      </c>
      <c r="D37" s="32"/>
      <c r="E37" s="33" t="str">
        <f aca="false">IF($A37="","",IFERROR(INDEX(Payments!$G$5:$G$64,MATCH($A37,Payments!$B$5:$B$64,0)),0)+IFERROR(INDEX(Payments!$K$5:$K$64,MATCH($A37,Payments!$B$5:$B$64,0)),0))</f>
        <v/>
      </c>
      <c r="F37" s="33" t="str">
        <f aca="false">IF($A37="","",$D37-$E37)</f>
        <v/>
      </c>
      <c r="G37" s="33" t="str">
        <f aca="false">IF($A37="","",SUMIFS('Expense Log'!$J$5:$J$154,'Expense Log'!$B$5:$B$154,$A37,'Expense Log'!$E$5:$E$154,"Raw Materials"))</f>
        <v/>
      </c>
      <c r="H37" s="33" t="str">
        <f aca="false">IF($A37="","",SUMIFS('Expense Log'!$J$5:$J$154,'Expense Log'!$B$5:$B$154,$A37,'Expense Log'!$E$5:$E$154,"Alcohol/Carrier"))</f>
        <v/>
      </c>
      <c r="I37" s="33" t="str">
        <f aca="false">IF($A37="","",SUMIFS('Expense Log'!$J$5:$J$154,'Expense Log'!$B$5:$B$154,$A37,'Expense Log'!$E$5:$E$154,"Bottles")+SUMIFS('Expense Log'!$J$5:$J$154,'Expense Log'!$B$5:$B$154,$A37,'Expense Log'!$E$5:$E$154,"Sample Vials"))</f>
        <v/>
      </c>
      <c r="J37" s="33" t="str">
        <f aca="false">IF($A37="","",SUMIFS('Expense Log'!$J$5:$J$154,'Expense Log'!$B$5:$B$154,$A37,'Expense Log'!$E$5:$E$154,"Packaging"))</f>
        <v/>
      </c>
      <c r="K37" s="33" t="str">
        <f aca="false">IF($A37="","",SUMIFS('Expense Log'!$J$5:$J$154,'Expense Log'!$B$5:$B$154,$A37,'Expense Log'!$E$5:$E$154,"Labels"))</f>
        <v/>
      </c>
      <c r="L37" s="33" t="str">
        <f aca="false">IF($A37="","",SUMIFS('Expense Log'!$J$5:$J$154,'Expense Log'!$B$5:$B$154,$A37,'Expense Log'!$E$5:$E$154,"Shipping"))</f>
        <v/>
      </c>
      <c r="M37" s="33" t="str">
        <f aca="false">IF($A37="","",SUMIFS('Expense Log'!$J$5:$J$154,'Expense Log'!$B$5:$B$154,$A37,'Expense Log'!$E$5:$E$154,"Documentation"))</f>
        <v/>
      </c>
      <c r="N37" s="33" t="str">
        <f aca="false">IF($A37="","",SUMIFS('Expense Log'!$J$5:$J$154,'Expense Log'!$B$5:$B$154,$A37,'Expense Log'!$E$5:$E$154,"SDS"))</f>
        <v/>
      </c>
      <c r="O37" s="33" t="str">
        <f aca="false">IF($A37="","",SUMIFS('Expense Log'!$J$5:$J$154,'Expense Log'!$B$5:$B$154,$A37,'Expense Log'!$E$5:$E$154,"IFRA/Allergen"))</f>
        <v/>
      </c>
      <c r="P37" s="33" t="str">
        <f aca="false">IF($A37="","",SUMIFS('Expense Log'!$J$5:$J$154,'Expense Log'!$B$5:$B$154,$A37,'Expense Log'!$E$5:$E$154,"CPSR"))</f>
        <v/>
      </c>
      <c r="Q37" s="33" t="str">
        <f aca="false">IF($A37="","",SUMIFS('Expense Log'!$J$5:$J$154,'Expense Log'!$B$5:$B$154,$A37,'Expense Log'!$E$5:$E$154,"Compounding"))</f>
        <v/>
      </c>
      <c r="R37" s="33" t="str">
        <f aca="false">IF($A37="","",SUMIFS('Expense Log'!$J$5:$J$154,'Expense Log'!$B$5:$B$154,$A37,'Expense Log'!$E$5:$E$154,"External Perfumer"))</f>
        <v/>
      </c>
      <c r="S37" s="33" t="str">
        <f aca="false">IF($A37="","",SUMIFS('Expense Log'!$J$5:$J$154,'Expense Log'!$B$5:$B$154,$A37,'Expense Log'!$E$5:$E$154,"Payment Fees"))</f>
        <v/>
      </c>
      <c r="T37" s="33" t="str">
        <f aca="false">IF($A37="","",SUMIFS('Expense Log'!$J$5:$J$154,'Expense Log'!$B$5:$B$154,$A37,'Expense Log'!$E$5:$E$154,"Testing")+SUMIFS('Expense Log'!$J$5:$J$154,'Expense Log'!$B$5:$B$154,$A37,'Expense Log'!$E$5:$E$154,"Software")+SUMIFS('Expense Log'!$J$5:$J$154,'Expense Log'!$B$5:$B$154,$A37,'Expense Log'!$E$5:$E$154,"Other"))</f>
        <v/>
      </c>
      <c r="U37" s="33" t="str">
        <f aca="false">IF($A37="","",SUM($G37:$T37))</f>
        <v/>
      </c>
      <c r="V37" s="39" t="str">
        <f aca="false">IF($A37="","",SUMIFS('Iteration Tracker'!$T$5:$T$124,'Iteration Tracker'!$A$5:$A$124,$A37))</f>
        <v/>
      </c>
      <c r="W37" s="40"/>
      <c r="X37" s="33" t="str">
        <f aca="false">IF($A37="","",$V37*$W37)</f>
        <v/>
      </c>
      <c r="Y37" s="33" t="str">
        <f aca="false">IF($A37="","",$U37+$X37)</f>
        <v/>
      </c>
      <c r="Z37" s="33" t="str">
        <f aca="false">IF($A37="","",$D37-$U37)</f>
        <v/>
      </c>
      <c r="AA37" s="33" t="str">
        <f aca="false">IF($A37="","",$D37-$Y37)</f>
        <v/>
      </c>
      <c r="AB37" s="41" t="str">
        <f aca="false">IF(OR($A37="",$D37=0),"",$Z37/$D37)</f>
        <v/>
      </c>
      <c r="AC37" s="41" t="str">
        <f aca="false">IF(OR($A37="",$D37=0),"",$AA37/$D37)</f>
        <v/>
      </c>
      <c r="AD37" s="42" t="str">
        <f aca="false">IFERROR(IF($A37="","",$Z37/$V37),"")</f>
        <v/>
      </c>
    </row>
    <row r="38" customFormat="false" ht="18" hidden="false" customHeight="true" outlineLevel="0" collapsed="false">
      <c r="A38" s="30"/>
      <c r="B38" s="37" t="str">
        <f aca="false">IF($A38="","",IFERROR(INDEX('Fragrance Projects'!$C$5:$C$64,MATCH($A38,'Fragrance Projects'!$A$5:$A$64,0)),""))</f>
        <v/>
      </c>
      <c r="C38" s="37" t="str">
        <f aca="false">IF($A38="","",IFERROR(INDEX('Fragrance Projects'!$D$5:$D$64,MATCH($A38,'Fragrance Projects'!$A$5:$A$64,0)),""))</f>
        <v/>
      </c>
      <c r="D38" s="32"/>
      <c r="E38" s="33" t="str">
        <f aca="false">IF($A38="","",IFERROR(INDEX(Payments!$G$5:$G$64,MATCH($A38,Payments!$B$5:$B$64,0)),0)+IFERROR(INDEX(Payments!$K$5:$K$64,MATCH($A38,Payments!$B$5:$B$64,0)),0))</f>
        <v/>
      </c>
      <c r="F38" s="33" t="str">
        <f aca="false">IF($A38="","",$D38-$E38)</f>
        <v/>
      </c>
      <c r="G38" s="33" t="str">
        <f aca="false">IF($A38="","",SUMIFS('Expense Log'!$J$5:$J$154,'Expense Log'!$B$5:$B$154,$A38,'Expense Log'!$E$5:$E$154,"Raw Materials"))</f>
        <v/>
      </c>
      <c r="H38" s="33" t="str">
        <f aca="false">IF($A38="","",SUMIFS('Expense Log'!$J$5:$J$154,'Expense Log'!$B$5:$B$154,$A38,'Expense Log'!$E$5:$E$154,"Alcohol/Carrier"))</f>
        <v/>
      </c>
      <c r="I38" s="33" t="str">
        <f aca="false">IF($A38="","",SUMIFS('Expense Log'!$J$5:$J$154,'Expense Log'!$B$5:$B$154,$A38,'Expense Log'!$E$5:$E$154,"Bottles")+SUMIFS('Expense Log'!$J$5:$J$154,'Expense Log'!$B$5:$B$154,$A38,'Expense Log'!$E$5:$E$154,"Sample Vials"))</f>
        <v/>
      </c>
      <c r="J38" s="33" t="str">
        <f aca="false">IF($A38="","",SUMIFS('Expense Log'!$J$5:$J$154,'Expense Log'!$B$5:$B$154,$A38,'Expense Log'!$E$5:$E$154,"Packaging"))</f>
        <v/>
      </c>
      <c r="K38" s="33" t="str">
        <f aca="false">IF($A38="","",SUMIFS('Expense Log'!$J$5:$J$154,'Expense Log'!$B$5:$B$154,$A38,'Expense Log'!$E$5:$E$154,"Labels"))</f>
        <v/>
      </c>
      <c r="L38" s="33" t="str">
        <f aca="false">IF($A38="","",SUMIFS('Expense Log'!$J$5:$J$154,'Expense Log'!$B$5:$B$154,$A38,'Expense Log'!$E$5:$E$154,"Shipping"))</f>
        <v/>
      </c>
      <c r="M38" s="33" t="str">
        <f aca="false">IF($A38="","",SUMIFS('Expense Log'!$J$5:$J$154,'Expense Log'!$B$5:$B$154,$A38,'Expense Log'!$E$5:$E$154,"Documentation"))</f>
        <v/>
      </c>
      <c r="N38" s="33" t="str">
        <f aca="false">IF($A38="","",SUMIFS('Expense Log'!$J$5:$J$154,'Expense Log'!$B$5:$B$154,$A38,'Expense Log'!$E$5:$E$154,"SDS"))</f>
        <v/>
      </c>
      <c r="O38" s="33" t="str">
        <f aca="false">IF($A38="","",SUMIFS('Expense Log'!$J$5:$J$154,'Expense Log'!$B$5:$B$154,$A38,'Expense Log'!$E$5:$E$154,"IFRA/Allergen"))</f>
        <v/>
      </c>
      <c r="P38" s="33" t="str">
        <f aca="false">IF($A38="","",SUMIFS('Expense Log'!$J$5:$J$154,'Expense Log'!$B$5:$B$154,$A38,'Expense Log'!$E$5:$E$154,"CPSR"))</f>
        <v/>
      </c>
      <c r="Q38" s="33" t="str">
        <f aca="false">IF($A38="","",SUMIFS('Expense Log'!$J$5:$J$154,'Expense Log'!$B$5:$B$154,$A38,'Expense Log'!$E$5:$E$154,"Compounding"))</f>
        <v/>
      </c>
      <c r="R38" s="33" t="str">
        <f aca="false">IF($A38="","",SUMIFS('Expense Log'!$J$5:$J$154,'Expense Log'!$B$5:$B$154,$A38,'Expense Log'!$E$5:$E$154,"External Perfumer"))</f>
        <v/>
      </c>
      <c r="S38" s="33" t="str">
        <f aca="false">IF($A38="","",SUMIFS('Expense Log'!$J$5:$J$154,'Expense Log'!$B$5:$B$154,$A38,'Expense Log'!$E$5:$E$154,"Payment Fees"))</f>
        <v/>
      </c>
      <c r="T38" s="33" t="str">
        <f aca="false">IF($A38="","",SUMIFS('Expense Log'!$J$5:$J$154,'Expense Log'!$B$5:$B$154,$A38,'Expense Log'!$E$5:$E$154,"Testing")+SUMIFS('Expense Log'!$J$5:$J$154,'Expense Log'!$B$5:$B$154,$A38,'Expense Log'!$E$5:$E$154,"Software")+SUMIFS('Expense Log'!$J$5:$J$154,'Expense Log'!$B$5:$B$154,$A38,'Expense Log'!$E$5:$E$154,"Other"))</f>
        <v/>
      </c>
      <c r="U38" s="33" t="str">
        <f aca="false">IF($A38="","",SUM($G38:$T38))</f>
        <v/>
      </c>
      <c r="V38" s="39" t="str">
        <f aca="false">IF($A38="","",SUMIFS('Iteration Tracker'!$T$5:$T$124,'Iteration Tracker'!$A$5:$A$124,$A38))</f>
        <v/>
      </c>
      <c r="W38" s="40"/>
      <c r="X38" s="33" t="str">
        <f aca="false">IF($A38="","",$V38*$W38)</f>
        <v/>
      </c>
      <c r="Y38" s="33" t="str">
        <f aca="false">IF($A38="","",$U38+$X38)</f>
        <v/>
      </c>
      <c r="Z38" s="33" t="str">
        <f aca="false">IF($A38="","",$D38-$U38)</f>
        <v/>
      </c>
      <c r="AA38" s="33" t="str">
        <f aca="false">IF($A38="","",$D38-$Y38)</f>
        <v/>
      </c>
      <c r="AB38" s="41" t="str">
        <f aca="false">IF(OR($A38="",$D38=0),"",$Z38/$D38)</f>
        <v/>
      </c>
      <c r="AC38" s="41" t="str">
        <f aca="false">IF(OR($A38="",$D38=0),"",$AA38/$D38)</f>
        <v/>
      </c>
      <c r="AD38" s="42" t="str">
        <f aca="false">IFERROR(IF($A38="","",$Z38/$V38),"")</f>
        <v/>
      </c>
    </row>
    <row r="39" customFormat="false" ht="18" hidden="false" customHeight="true" outlineLevel="0" collapsed="false">
      <c r="A39" s="30"/>
      <c r="B39" s="37" t="str">
        <f aca="false">IF($A39="","",IFERROR(INDEX('Fragrance Projects'!$C$5:$C$64,MATCH($A39,'Fragrance Projects'!$A$5:$A$64,0)),""))</f>
        <v/>
      </c>
      <c r="C39" s="37" t="str">
        <f aca="false">IF($A39="","",IFERROR(INDEX('Fragrance Projects'!$D$5:$D$64,MATCH($A39,'Fragrance Projects'!$A$5:$A$64,0)),""))</f>
        <v/>
      </c>
      <c r="D39" s="32"/>
      <c r="E39" s="33" t="str">
        <f aca="false">IF($A39="","",IFERROR(INDEX(Payments!$G$5:$G$64,MATCH($A39,Payments!$B$5:$B$64,0)),0)+IFERROR(INDEX(Payments!$K$5:$K$64,MATCH($A39,Payments!$B$5:$B$64,0)),0))</f>
        <v/>
      </c>
      <c r="F39" s="33" t="str">
        <f aca="false">IF($A39="","",$D39-$E39)</f>
        <v/>
      </c>
      <c r="G39" s="33" t="str">
        <f aca="false">IF($A39="","",SUMIFS('Expense Log'!$J$5:$J$154,'Expense Log'!$B$5:$B$154,$A39,'Expense Log'!$E$5:$E$154,"Raw Materials"))</f>
        <v/>
      </c>
      <c r="H39" s="33" t="str">
        <f aca="false">IF($A39="","",SUMIFS('Expense Log'!$J$5:$J$154,'Expense Log'!$B$5:$B$154,$A39,'Expense Log'!$E$5:$E$154,"Alcohol/Carrier"))</f>
        <v/>
      </c>
      <c r="I39" s="33" t="str">
        <f aca="false">IF($A39="","",SUMIFS('Expense Log'!$J$5:$J$154,'Expense Log'!$B$5:$B$154,$A39,'Expense Log'!$E$5:$E$154,"Bottles")+SUMIFS('Expense Log'!$J$5:$J$154,'Expense Log'!$B$5:$B$154,$A39,'Expense Log'!$E$5:$E$154,"Sample Vials"))</f>
        <v/>
      </c>
      <c r="J39" s="33" t="str">
        <f aca="false">IF($A39="","",SUMIFS('Expense Log'!$J$5:$J$154,'Expense Log'!$B$5:$B$154,$A39,'Expense Log'!$E$5:$E$154,"Packaging"))</f>
        <v/>
      </c>
      <c r="K39" s="33" t="str">
        <f aca="false">IF($A39="","",SUMIFS('Expense Log'!$J$5:$J$154,'Expense Log'!$B$5:$B$154,$A39,'Expense Log'!$E$5:$E$154,"Labels"))</f>
        <v/>
      </c>
      <c r="L39" s="33" t="str">
        <f aca="false">IF($A39="","",SUMIFS('Expense Log'!$J$5:$J$154,'Expense Log'!$B$5:$B$154,$A39,'Expense Log'!$E$5:$E$154,"Shipping"))</f>
        <v/>
      </c>
      <c r="M39" s="33" t="str">
        <f aca="false">IF($A39="","",SUMIFS('Expense Log'!$J$5:$J$154,'Expense Log'!$B$5:$B$154,$A39,'Expense Log'!$E$5:$E$154,"Documentation"))</f>
        <v/>
      </c>
      <c r="N39" s="33" t="str">
        <f aca="false">IF($A39="","",SUMIFS('Expense Log'!$J$5:$J$154,'Expense Log'!$B$5:$B$154,$A39,'Expense Log'!$E$5:$E$154,"SDS"))</f>
        <v/>
      </c>
      <c r="O39" s="33" t="str">
        <f aca="false">IF($A39="","",SUMIFS('Expense Log'!$J$5:$J$154,'Expense Log'!$B$5:$B$154,$A39,'Expense Log'!$E$5:$E$154,"IFRA/Allergen"))</f>
        <v/>
      </c>
      <c r="P39" s="33" t="str">
        <f aca="false">IF($A39="","",SUMIFS('Expense Log'!$J$5:$J$154,'Expense Log'!$B$5:$B$154,$A39,'Expense Log'!$E$5:$E$154,"CPSR"))</f>
        <v/>
      </c>
      <c r="Q39" s="33" t="str">
        <f aca="false">IF($A39="","",SUMIFS('Expense Log'!$J$5:$J$154,'Expense Log'!$B$5:$B$154,$A39,'Expense Log'!$E$5:$E$154,"Compounding"))</f>
        <v/>
      </c>
      <c r="R39" s="33" t="str">
        <f aca="false">IF($A39="","",SUMIFS('Expense Log'!$J$5:$J$154,'Expense Log'!$B$5:$B$154,$A39,'Expense Log'!$E$5:$E$154,"External Perfumer"))</f>
        <v/>
      </c>
      <c r="S39" s="33" t="str">
        <f aca="false">IF($A39="","",SUMIFS('Expense Log'!$J$5:$J$154,'Expense Log'!$B$5:$B$154,$A39,'Expense Log'!$E$5:$E$154,"Payment Fees"))</f>
        <v/>
      </c>
      <c r="T39" s="33" t="str">
        <f aca="false">IF($A39="","",SUMIFS('Expense Log'!$J$5:$J$154,'Expense Log'!$B$5:$B$154,$A39,'Expense Log'!$E$5:$E$154,"Testing")+SUMIFS('Expense Log'!$J$5:$J$154,'Expense Log'!$B$5:$B$154,$A39,'Expense Log'!$E$5:$E$154,"Software")+SUMIFS('Expense Log'!$J$5:$J$154,'Expense Log'!$B$5:$B$154,$A39,'Expense Log'!$E$5:$E$154,"Other"))</f>
        <v/>
      </c>
      <c r="U39" s="33" t="str">
        <f aca="false">IF($A39="","",SUM($G39:$T39))</f>
        <v/>
      </c>
      <c r="V39" s="39" t="str">
        <f aca="false">IF($A39="","",SUMIFS('Iteration Tracker'!$T$5:$T$124,'Iteration Tracker'!$A$5:$A$124,$A39))</f>
        <v/>
      </c>
      <c r="W39" s="40"/>
      <c r="X39" s="33" t="str">
        <f aca="false">IF($A39="","",$V39*$W39)</f>
        <v/>
      </c>
      <c r="Y39" s="33" t="str">
        <f aca="false">IF($A39="","",$U39+$X39)</f>
        <v/>
      </c>
      <c r="Z39" s="33" t="str">
        <f aca="false">IF($A39="","",$D39-$U39)</f>
        <v/>
      </c>
      <c r="AA39" s="33" t="str">
        <f aca="false">IF($A39="","",$D39-$Y39)</f>
        <v/>
      </c>
      <c r="AB39" s="41" t="str">
        <f aca="false">IF(OR($A39="",$D39=0),"",$Z39/$D39)</f>
        <v/>
      </c>
      <c r="AC39" s="41" t="str">
        <f aca="false">IF(OR($A39="",$D39=0),"",$AA39/$D39)</f>
        <v/>
      </c>
      <c r="AD39" s="42" t="str">
        <f aca="false">IFERROR(IF($A39="","",$Z39/$V39),"")</f>
        <v/>
      </c>
    </row>
    <row r="40" customFormat="false" ht="18" hidden="false" customHeight="true" outlineLevel="0" collapsed="false">
      <c r="A40" s="30"/>
      <c r="B40" s="37" t="str">
        <f aca="false">IF($A40="","",IFERROR(INDEX('Fragrance Projects'!$C$5:$C$64,MATCH($A40,'Fragrance Projects'!$A$5:$A$64,0)),""))</f>
        <v/>
      </c>
      <c r="C40" s="37" t="str">
        <f aca="false">IF($A40="","",IFERROR(INDEX('Fragrance Projects'!$D$5:$D$64,MATCH($A40,'Fragrance Projects'!$A$5:$A$64,0)),""))</f>
        <v/>
      </c>
      <c r="D40" s="32"/>
      <c r="E40" s="33" t="str">
        <f aca="false">IF($A40="","",IFERROR(INDEX(Payments!$G$5:$G$64,MATCH($A40,Payments!$B$5:$B$64,0)),0)+IFERROR(INDEX(Payments!$K$5:$K$64,MATCH($A40,Payments!$B$5:$B$64,0)),0))</f>
        <v/>
      </c>
      <c r="F40" s="33" t="str">
        <f aca="false">IF($A40="","",$D40-$E40)</f>
        <v/>
      </c>
      <c r="G40" s="33" t="str">
        <f aca="false">IF($A40="","",SUMIFS('Expense Log'!$J$5:$J$154,'Expense Log'!$B$5:$B$154,$A40,'Expense Log'!$E$5:$E$154,"Raw Materials"))</f>
        <v/>
      </c>
      <c r="H40" s="33" t="str">
        <f aca="false">IF($A40="","",SUMIFS('Expense Log'!$J$5:$J$154,'Expense Log'!$B$5:$B$154,$A40,'Expense Log'!$E$5:$E$154,"Alcohol/Carrier"))</f>
        <v/>
      </c>
      <c r="I40" s="33" t="str">
        <f aca="false">IF($A40="","",SUMIFS('Expense Log'!$J$5:$J$154,'Expense Log'!$B$5:$B$154,$A40,'Expense Log'!$E$5:$E$154,"Bottles")+SUMIFS('Expense Log'!$J$5:$J$154,'Expense Log'!$B$5:$B$154,$A40,'Expense Log'!$E$5:$E$154,"Sample Vials"))</f>
        <v/>
      </c>
      <c r="J40" s="33" t="str">
        <f aca="false">IF($A40="","",SUMIFS('Expense Log'!$J$5:$J$154,'Expense Log'!$B$5:$B$154,$A40,'Expense Log'!$E$5:$E$154,"Packaging"))</f>
        <v/>
      </c>
      <c r="K40" s="33" t="str">
        <f aca="false">IF($A40="","",SUMIFS('Expense Log'!$J$5:$J$154,'Expense Log'!$B$5:$B$154,$A40,'Expense Log'!$E$5:$E$154,"Labels"))</f>
        <v/>
      </c>
      <c r="L40" s="33" t="str">
        <f aca="false">IF($A40="","",SUMIFS('Expense Log'!$J$5:$J$154,'Expense Log'!$B$5:$B$154,$A40,'Expense Log'!$E$5:$E$154,"Shipping"))</f>
        <v/>
      </c>
      <c r="M40" s="33" t="str">
        <f aca="false">IF($A40="","",SUMIFS('Expense Log'!$J$5:$J$154,'Expense Log'!$B$5:$B$154,$A40,'Expense Log'!$E$5:$E$154,"Documentation"))</f>
        <v/>
      </c>
      <c r="N40" s="33" t="str">
        <f aca="false">IF($A40="","",SUMIFS('Expense Log'!$J$5:$J$154,'Expense Log'!$B$5:$B$154,$A40,'Expense Log'!$E$5:$E$154,"SDS"))</f>
        <v/>
      </c>
      <c r="O40" s="33" t="str">
        <f aca="false">IF($A40="","",SUMIFS('Expense Log'!$J$5:$J$154,'Expense Log'!$B$5:$B$154,$A40,'Expense Log'!$E$5:$E$154,"IFRA/Allergen"))</f>
        <v/>
      </c>
      <c r="P40" s="33" t="str">
        <f aca="false">IF($A40="","",SUMIFS('Expense Log'!$J$5:$J$154,'Expense Log'!$B$5:$B$154,$A40,'Expense Log'!$E$5:$E$154,"CPSR"))</f>
        <v/>
      </c>
      <c r="Q40" s="33" t="str">
        <f aca="false">IF($A40="","",SUMIFS('Expense Log'!$J$5:$J$154,'Expense Log'!$B$5:$B$154,$A40,'Expense Log'!$E$5:$E$154,"Compounding"))</f>
        <v/>
      </c>
      <c r="R40" s="33" t="str">
        <f aca="false">IF($A40="","",SUMIFS('Expense Log'!$J$5:$J$154,'Expense Log'!$B$5:$B$154,$A40,'Expense Log'!$E$5:$E$154,"External Perfumer"))</f>
        <v/>
      </c>
      <c r="S40" s="33" t="str">
        <f aca="false">IF($A40="","",SUMIFS('Expense Log'!$J$5:$J$154,'Expense Log'!$B$5:$B$154,$A40,'Expense Log'!$E$5:$E$154,"Payment Fees"))</f>
        <v/>
      </c>
      <c r="T40" s="33" t="str">
        <f aca="false">IF($A40="","",SUMIFS('Expense Log'!$J$5:$J$154,'Expense Log'!$B$5:$B$154,$A40,'Expense Log'!$E$5:$E$154,"Testing")+SUMIFS('Expense Log'!$J$5:$J$154,'Expense Log'!$B$5:$B$154,$A40,'Expense Log'!$E$5:$E$154,"Software")+SUMIFS('Expense Log'!$J$5:$J$154,'Expense Log'!$B$5:$B$154,$A40,'Expense Log'!$E$5:$E$154,"Other"))</f>
        <v/>
      </c>
      <c r="U40" s="33" t="str">
        <f aca="false">IF($A40="","",SUM($G40:$T40))</f>
        <v/>
      </c>
      <c r="V40" s="39" t="str">
        <f aca="false">IF($A40="","",SUMIFS('Iteration Tracker'!$T$5:$T$124,'Iteration Tracker'!$A$5:$A$124,$A40))</f>
        <v/>
      </c>
      <c r="W40" s="40"/>
      <c r="X40" s="33" t="str">
        <f aca="false">IF($A40="","",$V40*$W40)</f>
        <v/>
      </c>
      <c r="Y40" s="33" t="str">
        <f aca="false">IF($A40="","",$U40+$X40)</f>
        <v/>
      </c>
      <c r="Z40" s="33" t="str">
        <f aca="false">IF($A40="","",$D40-$U40)</f>
        <v/>
      </c>
      <c r="AA40" s="33" t="str">
        <f aca="false">IF($A40="","",$D40-$Y40)</f>
        <v/>
      </c>
      <c r="AB40" s="41" t="str">
        <f aca="false">IF(OR($A40="",$D40=0),"",$Z40/$D40)</f>
        <v/>
      </c>
      <c r="AC40" s="41" t="str">
        <f aca="false">IF(OR($A40="",$D40=0),"",$AA40/$D40)</f>
        <v/>
      </c>
      <c r="AD40" s="42" t="str">
        <f aca="false">IFERROR(IF($A40="","",$Z40/$V40),"")</f>
        <v/>
      </c>
    </row>
    <row r="41" customFormat="false" ht="18" hidden="false" customHeight="true" outlineLevel="0" collapsed="false">
      <c r="A41" s="30"/>
      <c r="B41" s="37" t="str">
        <f aca="false">IF($A41="","",IFERROR(INDEX('Fragrance Projects'!$C$5:$C$64,MATCH($A41,'Fragrance Projects'!$A$5:$A$64,0)),""))</f>
        <v/>
      </c>
      <c r="C41" s="37" t="str">
        <f aca="false">IF($A41="","",IFERROR(INDEX('Fragrance Projects'!$D$5:$D$64,MATCH($A41,'Fragrance Projects'!$A$5:$A$64,0)),""))</f>
        <v/>
      </c>
      <c r="D41" s="32"/>
      <c r="E41" s="33" t="str">
        <f aca="false">IF($A41="","",IFERROR(INDEX(Payments!$G$5:$G$64,MATCH($A41,Payments!$B$5:$B$64,0)),0)+IFERROR(INDEX(Payments!$K$5:$K$64,MATCH($A41,Payments!$B$5:$B$64,0)),0))</f>
        <v/>
      </c>
      <c r="F41" s="33" t="str">
        <f aca="false">IF($A41="","",$D41-$E41)</f>
        <v/>
      </c>
      <c r="G41" s="33" t="str">
        <f aca="false">IF($A41="","",SUMIFS('Expense Log'!$J$5:$J$154,'Expense Log'!$B$5:$B$154,$A41,'Expense Log'!$E$5:$E$154,"Raw Materials"))</f>
        <v/>
      </c>
      <c r="H41" s="33" t="str">
        <f aca="false">IF($A41="","",SUMIFS('Expense Log'!$J$5:$J$154,'Expense Log'!$B$5:$B$154,$A41,'Expense Log'!$E$5:$E$154,"Alcohol/Carrier"))</f>
        <v/>
      </c>
      <c r="I41" s="33" t="str">
        <f aca="false">IF($A41="","",SUMIFS('Expense Log'!$J$5:$J$154,'Expense Log'!$B$5:$B$154,$A41,'Expense Log'!$E$5:$E$154,"Bottles")+SUMIFS('Expense Log'!$J$5:$J$154,'Expense Log'!$B$5:$B$154,$A41,'Expense Log'!$E$5:$E$154,"Sample Vials"))</f>
        <v/>
      </c>
      <c r="J41" s="33" t="str">
        <f aca="false">IF($A41="","",SUMIFS('Expense Log'!$J$5:$J$154,'Expense Log'!$B$5:$B$154,$A41,'Expense Log'!$E$5:$E$154,"Packaging"))</f>
        <v/>
      </c>
      <c r="K41" s="33" t="str">
        <f aca="false">IF($A41="","",SUMIFS('Expense Log'!$J$5:$J$154,'Expense Log'!$B$5:$B$154,$A41,'Expense Log'!$E$5:$E$154,"Labels"))</f>
        <v/>
      </c>
      <c r="L41" s="33" t="str">
        <f aca="false">IF($A41="","",SUMIFS('Expense Log'!$J$5:$J$154,'Expense Log'!$B$5:$B$154,$A41,'Expense Log'!$E$5:$E$154,"Shipping"))</f>
        <v/>
      </c>
      <c r="M41" s="33" t="str">
        <f aca="false">IF($A41="","",SUMIFS('Expense Log'!$J$5:$J$154,'Expense Log'!$B$5:$B$154,$A41,'Expense Log'!$E$5:$E$154,"Documentation"))</f>
        <v/>
      </c>
      <c r="N41" s="33" t="str">
        <f aca="false">IF($A41="","",SUMIFS('Expense Log'!$J$5:$J$154,'Expense Log'!$B$5:$B$154,$A41,'Expense Log'!$E$5:$E$154,"SDS"))</f>
        <v/>
      </c>
      <c r="O41" s="33" t="str">
        <f aca="false">IF($A41="","",SUMIFS('Expense Log'!$J$5:$J$154,'Expense Log'!$B$5:$B$154,$A41,'Expense Log'!$E$5:$E$154,"IFRA/Allergen"))</f>
        <v/>
      </c>
      <c r="P41" s="33" t="str">
        <f aca="false">IF($A41="","",SUMIFS('Expense Log'!$J$5:$J$154,'Expense Log'!$B$5:$B$154,$A41,'Expense Log'!$E$5:$E$154,"CPSR"))</f>
        <v/>
      </c>
      <c r="Q41" s="33" t="str">
        <f aca="false">IF($A41="","",SUMIFS('Expense Log'!$J$5:$J$154,'Expense Log'!$B$5:$B$154,$A41,'Expense Log'!$E$5:$E$154,"Compounding"))</f>
        <v/>
      </c>
      <c r="R41" s="33" t="str">
        <f aca="false">IF($A41="","",SUMIFS('Expense Log'!$J$5:$J$154,'Expense Log'!$B$5:$B$154,$A41,'Expense Log'!$E$5:$E$154,"External Perfumer"))</f>
        <v/>
      </c>
      <c r="S41" s="33" t="str">
        <f aca="false">IF($A41="","",SUMIFS('Expense Log'!$J$5:$J$154,'Expense Log'!$B$5:$B$154,$A41,'Expense Log'!$E$5:$E$154,"Payment Fees"))</f>
        <v/>
      </c>
      <c r="T41" s="33" t="str">
        <f aca="false">IF($A41="","",SUMIFS('Expense Log'!$J$5:$J$154,'Expense Log'!$B$5:$B$154,$A41,'Expense Log'!$E$5:$E$154,"Testing")+SUMIFS('Expense Log'!$J$5:$J$154,'Expense Log'!$B$5:$B$154,$A41,'Expense Log'!$E$5:$E$154,"Software")+SUMIFS('Expense Log'!$J$5:$J$154,'Expense Log'!$B$5:$B$154,$A41,'Expense Log'!$E$5:$E$154,"Other"))</f>
        <v/>
      </c>
      <c r="U41" s="33" t="str">
        <f aca="false">IF($A41="","",SUM($G41:$T41))</f>
        <v/>
      </c>
      <c r="V41" s="39" t="str">
        <f aca="false">IF($A41="","",SUMIFS('Iteration Tracker'!$T$5:$T$124,'Iteration Tracker'!$A$5:$A$124,$A41))</f>
        <v/>
      </c>
      <c r="W41" s="40"/>
      <c r="X41" s="33" t="str">
        <f aca="false">IF($A41="","",$V41*$W41)</f>
        <v/>
      </c>
      <c r="Y41" s="33" t="str">
        <f aca="false">IF($A41="","",$U41+$X41)</f>
        <v/>
      </c>
      <c r="Z41" s="33" t="str">
        <f aca="false">IF($A41="","",$D41-$U41)</f>
        <v/>
      </c>
      <c r="AA41" s="33" t="str">
        <f aca="false">IF($A41="","",$D41-$Y41)</f>
        <v/>
      </c>
      <c r="AB41" s="41" t="str">
        <f aca="false">IF(OR($A41="",$D41=0),"",$Z41/$D41)</f>
        <v/>
      </c>
      <c r="AC41" s="41" t="str">
        <f aca="false">IF(OR($A41="",$D41=0),"",$AA41/$D41)</f>
        <v/>
      </c>
      <c r="AD41" s="42" t="str">
        <f aca="false">IFERROR(IF($A41="","",$Z41/$V41),"")</f>
        <v/>
      </c>
    </row>
    <row r="42" customFormat="false" ht="18" hidden="false" customHeight="true" outlineLevel="0" collapsed="false">
      <c r="A42" s="30"/>
      <c r="B42" s="37" t="str">
        <f aca="false">IF($A42="","",IFERROR(INDEX('Fragrance Projects'!$C$5:$C$64,MATCH($A42,'Fragrance Projects'!$A$5:$A$64,0)),""))</f>
        <v/>
      </c>
      <c r="C42" s="37" t="str">
        <f aca="false">IF($A42="","",IFERROR(INDEX('Fragrance Projects'!$D$5:$D$64,MATCH($A42,'Fragrance Projects'!$A$5:$A$64,0)),""))</f>
        <v/>
      </c>
      <c r="D42" s="32"/>
      <c r="E42" s="33" t="str">
        <f aca="false">IF($A42="","",IFERROR(INDEX(Payments!$G$5:$G$64,MATCH($A42,Payments!$B$5:$B$64,0)),0)+IFERROR(INDEX(Payments!$K$5:$K$64,MATCH($A42,Payments!$B$5:$B$64,0)),0))</f>
        <v/>
      </c>
      <c r="F42" s="33" t="str">
        <f aca="false">IF($A42="","",$D42-$E42)</f>
        <v/>
      </c>
      <c r="G42" s="33" t="str">
        <f aca="false">IF($A42="","",SUMIFS('Expense Log'!$J$5:$J$154,'Expense Log'!$B$5:$B$154,$A42,'Expense Log'!$E$5:$E$154,"Raw Materials"))</f>
        <v/>
      </c>
      <c r="H42" s="33" t="str">
        <f aca="false">IF($A42="","",SUMIFS('Expense Log'!$J$5:$J$154,'Expense Log'!$B$5:$B$154,$A42,'Expense Log'!$E$5:$E$154,"Alcohol/Carrier"))</f>
        <v/>
      </c>
      <c r="I42" s="33" t="str">
        <f aca="false">IF($A42="","",SUMIFS('Expense Log'!$J$5:$J$154,'Expense Log'!$B$5:$B$154,$A42,'Expense Log'!$E$5:$E$154,"Bottles")+SUMIFS('Expense Log'!$J$5:$J$154,'Expense Log'!$B$5:$B$154,$A42,'Expense Log'!$E$5:$E$154,"Sample Vials"))</f>
        <v/>
      </c>
      <c r="J42" s="33" t="str">
        <f aca="false">IF($A42="","",SUMIFS('Expense Log'!$J$5:$J$154,'Expense Log'!$B$5:$B$154,$A42,'Expense Log'!$E$5:$E$154,"Packaging"))</f>
        <v/>
      </c>
      <c r="K42" s="33" t="str">
        <f aca="false">IF($A42="","",SUMIFS('Expense Log'!$J$5:$J$154,'Expense Log'!$B$5:$B$154,$A42,'Expense Log'!$E$5:$E$154,"Labels"))</f>
        <v/>
      </c>
      <c r="L42" s="33" t="str">
        <f aca="false">IF($A42="","",SUMIFS('Expense Log'!$J$5:$J$154,'Expense Log'!$B$5:$B$154,$A42,'Expense Log'!$E$5:$E$154,"Shipping"))</f>
        <v/>
      </c>
      <c r="M42" s="33" t="str">
        <f aca="false">IF($A42="","",SUMIFS('Expense Log'!$J$5:$J$154,'Expense Log'!$B$5:$B$154,$A42,'Expense Log'!$E$5:$E$154,"Documentation"))</f>
        <v/>
      </c>
      <c r="N42" s="33" t="str">
        <f aca="false">IF($A42="","",SUMIFS('Expense Log'!$J$5:$J$154,'Expense Log'!$B$5:$B$154,$A42,'Expense Log'!$E$5:$E$154,"SDS"))</f>
        <v/>
      </c>
      <c r="O42" s="33" t="str">
        <f aca="false">IF($A42="","",SUMIFS('Expense Log'!$J$5:$J$154,'Expense Log'!$B$5:$B$154,$A42,'Expense Log'!$E$5:$E$154,"IFRA/Allergen"))</f>
        <v/>
      </c>
      <c r="P42" s="33" t="str">
        <f aca="false">IF($A42="","",SUMIFS('Expense Log'!$J$5:$J$154,'Expense Log'!$B$5:$B$154,$A42,'Expense Log'!$E$5:$E$154,"CPSR"))</f>
        <v/>
      </c>
      <c r="Q42" s="33" t="str">
        <f aca="false">IF($A42="","",SUMIFS('Expense Log'!$J$5:$J$154,'Expense Log'!$B$5:$B$154,$A42,'Expense Log'!$E$5:$E$154,"Compounding"))</f>
        <v/>
      </c>
      <c r="R42" s="33" t="str">
        <f aca="false">IF($A42="","",SUMIFS('Expense Log'!$J$5:$J$154,'Expense Log'!$B$5:$B$154,$A42,'Expense Log'!$E$5:$E$154,"External Perfumer"))</f>
        <v/>
      </c>
      <c r="S42" s="33" t="str">
        <f aca="false">IF($A42="","",SUMIFS('Expense Log'!$J$5:$J$154,'Expense Log'!$B$5:$B$154,$A42,'Expense Log'!$E$5:$E$154,"Payment Fees"))</f>
        <v/>
      </c>
      <c r="T42" s="33" t="str">
        <f aca="false">IF($A42="","",SUMIFS('Expense Log'!$J$5:$J$154,'Expense Log'!$B$5:$B$154,$A42,'Expense Log'!$E$5:$E$154,"Testing")+SUMIFS('Expense Log'!$J$5:$J$154,'Expense Log'!$B$5:$B$154,$A42,'Expense Log'!$E$5:$E$154,"Software")+SUMIFS('Expense Log'!$J$5:$J$154,'Expense Log'!$B$5:$B$154,$A42,'Expense Log'!$E$5:$E$154,"Other"))</f>
        <v/>
      </c>
      <c r="U42" s="33" t="str">
        <f aca="false">IF($A42="","",SUM($G42:$T42))</f>
        <v/>
      </c>
      <c r="V42" s="39" t="str">
        <f aca="false">IF($A42="","",SUMIFS('Iteration Tracker'!$T$5:$T$124,'Iteration Tracker'!$A$5:$A$124,$A42))</f>
        <v/>
      </c>
      <c r="W42" s="40"/>
      <c r="X42" s="33" t="str">
        <f aca="false">IF($A42="","",$V42*$W42)</f>
        <v/>
      </c>
      <c r="Y42" s="33" t="str">
        <f aca="false">IF($A42="","",$U42+$X42)</f>
        <v/>
      </c>
      <c r="Z42" s="33" t="str">
        <f aca="false">IF($A42="","",$D42-$U42)</f>
        <v/>
      </c>
      <c r="AA42" s="33" t="str">
        <f aca="false">IF($A42="","",$D42-$Y42)</f>
        <v/>
      </c>
      <c r="AB42" s="41" t="str">
        <f aca="false">IF(OR($A42="",$D42=0),"",$Z42/$D42)</f>
        <v/>
      </c>
      <c r="AC42" s="41" t="str">
        <f aca="false">IF(OR($A42="",$D42=0),"",$AA42/$D42)</f>
        <v/>
      </c>
      <c r="AD42" s="42" t="str">
        <f aca="false">IFERROR(IF($A42="","",$Z42/$V42),"")</f>
        <v/>
      </c>
    </row>
    <row r="43" customFormat="false" ht="18" hidden="false" customHeight="true" outlineLevel="0" collapsed="false">
      <c r="A43" s="30"/>
      <c r="B43" s="37" t="str">
        <f aca="false">IF($A43="","",IFERROR(INDEX('Fragrance Projects'!$C$5:$C$64,MATCH($A43,'Fragrance Projects'!$A$5:$A$64,0)),""))</f>
        <v/>
      </c>
      <c r="C43" s="37" t="str">
        <f aca="false">IF($A43="","",IFERROR(INDEX('Fragrance Projects'!$D$5:$D$64,MATCH($A43,'Fragrance Projects'!$A$5:$A$64,0)),""))</f>
        <v/>
      </c>
      <c r="D43" s="32"/>
      <c r="E43" s="33" t="str">
        <f aca="false">IF($A43="","",IFERROR(INDEX(Payments!$G$5:$G$64,MATCH($A43,Payments!$B$5:$B$64,0)),0)+IFERROR(INDEX(Payments!$K$5:$K$64,MATCH($A43,Payments!$B$5:$B$64,0)),0))</f>
        <v/>
      </c>
      <c r="F43" s="33" t="str">
        <f aca="false">IF($A43="","",$D43-$E43)</f>
        <v/>
      </c>
      <c r="G43" s="33" t="str">
        <f aca="false">IF($A43="","",SUMIFS('Expense Log'!$J$5:$J$154,'Expense Log'!$B$5:$B$154,$A43,'Expense Log'!$E$5:$E$154,"Raw Materials"))</f>
        <v/>
      </c>
      <c r="H43" s="33" t="str">
        <f aca="false">IF($A43="","",SUMIFS('Expense Log'!$J$5:$J$154,'Expense Log'!$B$5:$B$154,$A43,'Expense Log'!$E$5:$E$154,"Alcohol/Carrier"))</f>
        <v/>
      </c>
      <c r="I43" s="33" t="str">
        <f aca="false">IF($A43="","",SUMIFS('Expense Log'!$J$5:$J$154,'Expense Log'!$B$5:$B$154,$A43,'Expense Log'!$E$5:$E$154,"Bottles")+SUMIFS('Expense Log'!$J$5:$J$154,'Expense Log'!$B$5:$B$154,$A43,'Expense Log'!$E$5:$E$154,"Sample Vials"))</f>
        <v/>
      </c>
      <c r="J43" s="33" t="str">
        <f aca="false">IF($A43="","",SUMIFS('Expense Log'!$J$5:$J$154,'Expense Log'!$B$5:$B$154,$A43,'Expense Log'!$E$5:$E$154,"Packaging"))</f>
        <v/>
      </c>
      <c r="K43" s="33" t="str">
        <f aca="false">IF($A43="","",SUMIFS('Expense Log'!$J$5:$J$154,'Expense Log'!$B$5:$B$154,$A43,'Expense Log'!$E$5:$E$154,"Labels"))</f>
        <v/>
      </c>
      <c r="L43" s="33" t="str">
        <f aca="false">IF($A43="","",SUMIFS('Expense Log'!$J$5:$J$154,'Expense Log'!$B$5:$B$154,$A43,'Expense Log'!$E$5:$E$154,"Shipping"))</f>
        <v/>
      </c>
      <c r="M43" s="33" t="str">
        <f aca="false">IF($A43="","",SUMIFS('Expense Log'!$J$5:$J$154,'Expense Log'!$B$5:$B$154,$A43,'Expense Log'!$E$5:$E$154,"Documentation"))</f>
        <v/>
      </c>
      <c r="N43" s="33" t="str">
        <f aca="false">IF($A43="","",SUMIFS('Expense Log'!$J$5:$J$154,'Expense Log'!$B$5:$B$154,$A43,'Expense Log'!$E$5:$E$154,"SDS"))</f>
        <v/>
      </c>
      <c r="O43" s="33" t="str">
        <f aca="false">IF($A43="","",SUMIFS('Expense Log'!$J$5:$J$154,'Expense Log'!$B$5:$B$154,$A43,'Expense Log'!$E$5:$E$154,"IFRA/Allergen"))</f>
        <v/>
      </c>
      <c r="P43" s="33" t="str">
        <f aca="false">IF($A43="","",SUMIFS('Expense Log'!$J$5:$J$154,'Expense Log'!$B$5:$B$154,$A43,'Expense Log'!$E$5:$E$154,"CPSR"))</f>
        <v/>
      </c>
      <c r="Q43" s="33" t="str">
        <f aca="false">IF($A43="","",SUMIFS('Expense Log'!$J$5:$J$154,'Expense Log'!$B$5:$B$154,$A43,'Expense Log'!$E$5:$E$154,"Compounding"))</f>
        <v/>
      </c>
      <c r="R43" s="33" t="str">
        <f aca="false">IF($A43="","",SUMIFS('Expense Log'!$J$5:$J$154,'Expense Log'!$B$5:$B$154,$A43,'Expense Log'!$E$5:$E$154,"External Perfumer"))</f>
        <v/>
      </c>
      <c r="S43" s="33" t="str">
        <f aca="false">IF($A43="","",SUMIFS('Expense Log'!$J$5:$J$154,'Expense Log'!$B$5:$B$154,$A43,'Expense Log'!$E$5:$E$154,"Payment Fees"))</f>
        <v/>
      </c>
      <c r="T43" s="33" t="str">
        <f aca="false">IF($A43="","",SUMIFS('Expense Log'!$J$5:$J$154,'Expense Log'!$B$5:$B$154,$A43,'Expense Log'!$E$5:$E$154,"Testing")+SUMIFS('Expense Log'!$J$5:$J$154,'Expense Log'!$B$5:$B$154,$A43,'Expense Log'!$E$5:$E$154,"Software")+SUMIFS('Expense Log'!$J$5:$J$154,'Expense Log'!$B$5:$B$154,$A43,'Expense Log'!$E$5:$E$154,"Other"))</f>
        <v/>
      </c>
      <c r="U43" s="33" t="str">
        <f aca="false">IF($A43="","",SUM($G43:$T43))</f>
        <v/>
      </c>
      <c r="V43" s="39" t="str">
        <f aca="false">IF($A43="","",SUMIFS('Iteration Tracker'!$T$5:$T$124,'Iteration Tracker'!$A$5:$A$124,$A43))</f>
        <v/>
      </c>
      <c r="W43" s="40"/>
      <c r="X43" s="33" t="str">
        <f aca="false">IF($A43="","",$V43*$W43)</f>
        <v/>
      </c>
      <c r="Y43" s="33" t="str">
        <f aca="false">IF($A43="","",$U43+$X43)</f>
        <v/>
      </c>
      <c r="Z43" s="33" t="str">
        <f aca="false">IF($A43="","",$D43-$U43)</f>
        <v/>
      </c>
      <c r="AA43" s="33" t="str">
        <f aca="false">IF($A43="","",$D43-$Y43)</f>
        <v/>
      </c>
      <c r="AB43" s="41" t="str">
        <f aca="false">IF(OR($A43="",$D43=0),"",$Z43/$D43)</f>
        <v/>
      </c>
      <c r="AC43" s="41" t="str">
        <f aca="false">IF(OR($A43="",$D43=0),"",$AA43/$D43)</f>
        <v/>
      </c>
      <c r="AD43" s="42" t="str">
        <f aca="false">IFERROR(IF($A43="","",$Z43/$V43),"")</f>
        <v/>
      </c>
    </row>
    <row r="44" customFormat="false" ht="18" hidden="false" customHeight="true" outlineLevel="0" collapsed="false">
      <c r="A44" s="30"/>
      <c r="B44" s="37" t="str">
        <f aca="false">IF($A44="","",IFERROR(INDEX('Fragrance Projects'!$C$5:$C$64,MATCH($A44,'Fragrance Projects'!$A$5:$A$64,0)),""))</f>
        <v/>
      </c>
      <c r="C44" s="37" t="str">
        <f aca="false">IF($A44="","",IFERROR(INDEX('Fragrance Projects'!$D$5:$D$64,MATCH($A44,'Fragrance Projects'!$A$5:$A$64,0)),""))</f>
        <v/>
      </c>
      <c r="D44" s="32"/>
      <c r="E44" s="33" t="str">
        <f aca="false">IF($A44="","",IFERROR(INDEX(Payments!$G$5:$G$64,MATCH($A44,Payments!$B$5:$B$64,0)),0)+IFERROR(INDEX(Payments!$K$5:$K$64,MATCH($A44,Payments!$B$5:$B$64,0)),0))</f>
        <v/>
      </c>
      <c r="F44" s="33" t="str">
        <f aca="false">IF($A44="","",$D44-$E44)</f>
        <v/>
      </c>
      <c r="G44" s="33" t="str">
        <f aca="false">IF($A44="","",SUMIFS('Expense Log'!$J$5:$J$154,'Expense Log'!$B$5:$B$154,$A44,'Expense Log'!$E$5:$E$154,"Raw Materials"))</f>
        <v/>
      </c>
      <c r="H44" s="33" t="str">
        <f aca="false">IF($A44="","",SUMIFS('Expense Log'!$J$5:$J$154,'Expense Log'!$B$5:$B$154,$A44,'Expense Log'!$E$5:$E$154,"Alcohol/Carrier"))</f>
        <v/>
      </c>
      <c r="I44" s="33" t="str">
        <f aca="false">IF($A44="","",SUMIFS('Expense Log'!$J$5:$J$154,'Expense Log'!$B$5:$B$154,$A44,'Expense Log'!$E$5:$E$154,"Bottles")+SUMIFS('Expense Log'!$J$5:$J$154,'Expense Log'!$B$5:$B$154,$A44,'Expense Log'!$E$5:$E$154,"Sample Vials"))</f>
        <v/>
      </c>
      <c r="J44" s="33" t="str">
        <f aca="false">IF($A44="","",SUMIFS('Expense Log'!$J$5:$J$154,'Expense Log'!$B$5:$B$154,$A44,'Expense Log'!$E$5:$E$154,"Packaging"))</f>
        <v/>
      </c>
      <c r="K44" s="33" t="str">
        <f aca="false">IF($A44="","",SUMIFS('Expense Log'!$J$5:$J$154,'Expense Log'!$B$5:$B$154,$A44,'Expense Log'!$E$5:$E$154,"Labels"))</f>
        <v/>
      </c>
      <c r="L44" s="33" t="str">
        <f aca="false">IF($A44="","",SUMIFS('Expense Log'!$J$5:$J$154,'Expense Log'!$B$5:$B$154,$A44,'Expense Log'!$E$5:$E$154,"Shipping"))</f>
        <v/>
      </c>
      <c r="M44" s="33" t="str">
        <f aca="false">IF($A44="","",SUMIFS('Expense Log'!$J$5:$J$154,'Expense Log'!$B$5:$B$154,$A44,'Expense Log'!$E$5:$E$154,"Documentation"))</f>
        <v/>
      </c>
      <c r="N44" s="33" t="str">
        <f aca="false">IF($A44="","",SUMIFS('Expense Log'!$J$5:$J$154,'Expense Log'!$B$5:$B$154,$A44,'Expense Log'!$E$5:$E$154,"SDS"))</f>
        <v/>
      </c>
      <c r="O44" s="33" t="str">
        <f aca="false">IF($A44="","",SUMIFS('Expense Log'!$J$5:$J$154,'Expense Log'!$B$5:$B$154,$A44,'Expense Log'!$E$5:$E$154,"IFRA/Allergen"))</f>
        <v/>
      </c>
      <c r="P44" s="33" t="str">
        <f aca="false">IF($A44="","",SUMIFS('Expense Log'!$J$5:$J$154,'Expense Log'!$B$5:$B$154,$A44,'Expense Log'!$E$5:$E$154,"CPSR"))</f>
        <v/>
      </c>
      <c r="Q44" s="33" t="str">
        <f aca="false">IF($A44="","",SUMIFS('Expense Log'!$J$5:$J$154,'Expense Log'!$B$5:$B$154,$A44,'Expense Log'!$E$5:$E$154,"Compounding"))</f>
        <v/>
      </c>
      <c r="R44" s="33" t="str">
        <f aca="false">IF($A44="","",SUMIFS('Expense Log'!$J$5:$J$154,'Expense Log'!$B$5:$B$154,$A44,'Expense Log'!$E$5:$E$154,"External Perfumer"))</f>
        <v/>
      </c>
      <c r="S44" s="33" t="str">
        <f aca="false">IF($A44="","",SUMIFS('Expense Log'!$J$5:$J$154,'Expense Log'!$B$5:$B$154,$A44,'Expense Log'!$E$5:$E$154,"Payment Fees"))</f>
        <v/>
      </c>
      <c r="T44" s="33" t="str">
        <f aca="false">IF($A44="","",SUMIFS('Expense Log'!$J$5:$J$154,'Expense Log'!$B$5:$B$154,$A44,'Expense Log'!$E$5:$E$154,"Testing")+SUMIFS('Expense Log'!$J$5:$J$154,'Expense Log'!$B$5:$B$154,$A44,'Expense Log'!$E$5:$E$154,"Software")+SUMIFS('Expense Log'!$J$5:$J$154,'Expense Log'!$B$5:$B$154,$A44,'Expense Log'!$E$5:$E$154,"Other"))</f>
        <v/>
      </c>
      <c r="U44" s="33" t="str">
        <f aca="false">IF($A44="","",SUM($G44:$T44))</f>
        <v/>
      </c>
      <c r="V44" s="39" t="str">
        <f aca="false">IF($A44="","",SUMIFS('Iteration Tracker'!$T$5:$T$124,'Iteration Tracker'!$A$5:$A$124,$A44))</f>
        <v/>
      </c>
      <c r="W44" s="40"/>
      <c r="X44" s="33" t="str">
        <f aca="false">IF($A44="","",$V44*$W44)</f>
        <v/>
      </c>
      <c r="Y44" s="33" t="str">
        <f aca="false">IF($A44="","",$U44+$X44)</f>
        <v/>
      </c>
      <c r="Z44" s="33" t="str">
        <f aca="false">IF($A44="","",$D44-$U44)</f>
        <v/>
      </c>
      <c r="AA44" s="33" t="str">
        <f aca="false">IF($A44="","",$D44-$Y44)</f>
        <v/>
      </c>
      <c r="AB44" s="41" t="str">
        <f aca="false">IF(OR($A44="",$D44=0),"",$Z44/$D44)</f>
        <v/>
      </c>
      <c r="AC44" s="41" t="str">
        <f aca="false">IF(OR($A44="",$D44=0),"",$AA44/$D44)</f>
        <v/>
      </c>
      <c r="AD44" s="42" t="str">
        <f aca="false">IFERROR(IF($A44="","",$Z44/$V44),"")</f>
        <v/>
      </c>
    </row>
    <row r="45" customFormat="false" ht="18" hidden="false" customHeight="true" outlineLevel="0" collapsed="false">
      <c r="A45" s="30"/>
      <c r="B45" s="37" t="str">
        <f aca="false">IF($A45="","",IFERROR(INDEX('Fragrance Projects'!$C$5:$C$64,MATCH($A45,'Fragrance Projects'!$A$5:$A$64,0)),""))</f>
        <v/>
      </c>
      <c r="C45" s="37" t="str">
        <f aca="false">IF($A45="","",IFERROR(INDEX('Fragrance Projects'!$D$5:$D$64,MATCH($A45,'Fragrance Projects'!$A$5:$A$64,0)),""))</f>
        <v/>
      </c>
      <c r="D45" s="32"/>
      <c r="E45" s="33" t="str">
        <f aca="false">IF($A45="","",IFERROR(INDEX(Payments!$G$5:$G$64,MATCH($A45,Payments!$B$5:$B$64,0)),0)+IFERROR(INDEX(Payments!$K$5:$K$64,MATCH($A45,Payments!$B$5:$B$64,0)),0))</f>
        <v/>
      </c>
      <c r="F45" s="33" t="str">
        <f aca="false">IF($A45="","",$D45-$E45)</f>
        <v/>
      </c>
      <c r="G45" s="33" t="str">
        <f aca="false">IF($A45="","",SUMIFS('Expense Log'!$J$5:$J$154,'Expense Log'!$B$5:$B$154,$A45,'Expense Log'!$E$5:$E$154,"Raw Materials"))</f>
        <v/>
      </c>
      <c r="H45" s="33" t="str">
        <f aca="false">IF($A45="","",SUMIFS('Expense Log'!$J$5:$J$154,'Expense Log'!$B$5:$B$154,$A45,'Expense Log'!$E$5:$E$154,"Alcohol/Carrier"))</f>
        <v/>
      </c>
      <c r="I45" s="33" t="str">
        <f aca="false">IF($A45="","",SUMIFS('Expense Log'!$J$5:$J$154,'Expense Log'!$B$5:$B$154,$A45,'Expense Log'!$E$5:$E$154,"Bottles")+SUMIFS('Expense Log'!$J$5:$J$154,'Expense Log'!$B$5:$B$154,$A45,'Expense Log'!$E$5:$E$154,"Sample Vials"))</f>
        <v/>
      </c>
      <c r="J45" s="33" t="str">
        <f aca="false">IF($A45="","",SUMIFS('Expense Log'!$J$5:$J$154,'Expense Log'!$B$5:$B$154,$A45,'Expense Log'!$E$5:$E$154,"Packaging"))</f>
        <v/>
      </c>
      <c r="K45" s="33" t="str">
        <f aca="false">IF($A45="","",SUMIFS('Expense Log'!$J$5:$J$154,'Expense Log'!$B$5:$B$154,$A45,'Expense Log'!$E$5:$E$154,"Labels"))</f>
        <v/>
      </c>
      <c r="L45" s="33" t="str">
        <f aca="false">IF($A45="","",SUMIFS('Expense Log'!$J$5:$J$154,'Expense Log'!$B$5:$B$154,$A45,'Expense Log'!$E$5:$E$154,"Shipping"))</f>
        <v/>
      </c>
      <c r="M45" s="33" t="str">
        <f aca="false">IF($A45="","",SUMIFS('Expense Log'!$J$5:$J$154,'Expense Log'!$B$5:$B$154,$A45,'Expense Log'!$E$5:$E$154,"Documentation"))</f>
        <v/>
      </c>
      <c r="N45" s="33" t="str">
        <f aca="false">IF($A45="","",SUMIFS('Expense Log'!$J$5:$J$154,'Expense Log'!$B$5:$B$154,$A45,'Expense Log'!$E$5:$E$154,"SDS"))</f>
        <v/>
      </c>
      <c r="O45" s="33" t="str">
        <f aca="false">IF($A45="","",SUMIFS('Expense Log'!$J$5:$J$154,'Expense Log'!$B$5:$B$154,$A45,'Expense Log'!$E$5:$E$154,"IFRA/Allergen"))</f>
        <v/>
      </c>
      <c r="P45" s="33" t="str">
        <f aca="false">IF($A45="","",SUMIFS('Expense Log'!$J$5:$J$154,'Expense Log'!$B$5:$B$154,$A45,'Expense Log'!$E$5:$E$154,"CPSR"))</f>
        <v/>
      </c>
      <c r="Q45" s="33" t="str">
        <f aca="false">IF($A45="","",SUMIFS('Expense Log'!$J$5:$J$154,'Expense Log'!$B$5:$B$154,$A45,'Expense Log'!$E$5:$E$154,"Compounding"))</f>
        <v/>
      </c>
      <c r="R45" s="33" t="str">
        <f aca="false">IF($A45="","",SUMIFS('Expense Log'!$J$5:$J$154,'Expense Log'!$B$5:$B$154,$A45,'Expense Log'!$E$5:$E$154,"External Perfumer"))</f>
        <v/>
      </c>
      <c r="S45" s="33" t="str">
        <f aca="false">IF($A45="","",SUMIFS('Expense Log'!$J$5:$J$154,'Expense Log'!$B$5:$B$154,$A45,'Expense Log'!$E$5:$E$154,"Payment Fees"))</f>
        <v/>
      </c>
      <c r="T45" s="33" t="str">
        <f aca="false">IF($A45="","",SUMIFS('Expense Log'!$J$5:$J$154,'Expense Log'!$B$5:$B$154,$A45,'Expense Log'!$E$5:$E$154,"Testing")+SUMIFS('Expense Log'!$J$5:$J$154,'Expense Log'!$B$5:$B$154,$A45,'Expense Log'!$E$5:$E$154,"Software")+SUMIFS('Expense Log'!$J$5:$J$154,'Expense Log'!$B$5:$B$154,$A45,'Expense Log'!$E$5:$E$154,"Other"))</f>
        <v/>
      </c>
      <c r="U45" s="33" t="str">
        <f aca="false">IF($A45="","",SUM($G45:$T45))</f>
        <v/>
      </c>
      <c r="V45" s="39" t="str">
        <f aca="false">IF($A45="","",SUMIFS('Iteration Tracker'!$T$5:$T$124,'Iteration Tracker'!$A$5:$A$124,$A45))</f>
        <v/>
      </c>
      <c r="W45" s="40"/>
      <c r="X45" s="33" t="str">
        <f aca="false">IF($A45="","",$V45*$W45)</f>
        <v/>
      </c>
      <c r="Y45" s="33" t="str">
        <f aca="false">IF($A45="","",$U45+$X45)</f>
        <v/>
      </c>
      <c r="Z45" s="33" t="str">
        <f aca="false">IF($A45="","",$D45-$U45)</f>
        <v/>
      </c>
      <c r="AA45" s="33" t="str">
        <f aca="false">IF($A45="","",$D45-$Y45)</f>
        <v/>
      </c>
      <c r="AB45" s="41" t="str">
        <f aca="false">IF(OR($A45="",$D45=0),"",$Z45/$D45)</f>
        <v/>
      </c>
      <c r="AC45" s="41" t="str">
        <f aca="false">IF(OR($A45="",$D45=0),"",$AA45/$D45)</f>
        <v/>
      </c>
      <c r="AD45" s="42" t="str">
        <f aca="false">IFERROR(IF($A45="","",$Z45/$V45),"")</f>
        <v/>
      </c>
    </row>
    <row r="46" customFormat="false" ht="18" hidden="false" customHeight="true" outlineLevel="0" collapsed="false">
      <c r="A46" s="30"/>
      <c r="B46" s="37" t="str">
        <f aca="false">IF($A46="","",IFERROR(INDEX('Fragrance Projects'!$C$5:$C$64,MATCH($A46,'Fragrance Projects'!$A$5:$A$64,0)),""))</f>
        <v/>
      </c>
      <c r="C46" s="37" t="str">
        <f aca="false">IF($A46="","",IFERROR(INDEX('Fragrance Projects'!$D$5:$D$64,MATCH($A46,'Fragrance Projects'!$A$5:$A$64,0)),""))</f>
        <v/>
      </c>
      <c r="D46" s="32"/>
      <c r="E46" s="33" t="str">
        <f aca="false">IF($A46="","",IFERROR(INDEX(Payments!$G$5:$G$64,MATCH($A46,Payments!$B$5:$B$64,0)),0)+IFERROR(INDEX(Payments!$K$5:$K$64,MATCH($A46,Payments!$B$5:$B$64,0)),0))</f>
        <v/>
      </c>
      <c r="F46" s="33" t="str">
        <f aca="false">IF($A46="","",$D46-$E46)</f>
        <v/>
      </c>
      <c r="G46" s="33" t="str">
        <f aca="false">IF($A46="","",SUMIFS('Expense Log'!$J$5:$J$154,'Expense Log'!$B$5:$B$154,$A46,'Expense Log'!$E$5:$E$154,"Raw Materials"))</f>
        <v/>
      </c>
      <c r="H46" s="33" t="str">
        <f aca="false">IF($A46="","",SUMIFS('Expense Log'!$J$5:$J$154,'Expense Log'!$B$5:$B$154,$A46,'Expense Log'!$E$5:$E$154,"Alcohol/Carrier"))</f>
        <v/>
      </c>
      <c r="I46" s="33" t="str">
        <f aca="false">IF($A46="","",SUMIFS('Expense Log'!$J$5:$J$154,'Expense Log'!$B$5:$B$154,$A46,'Expense Log'!$E$5:$E$154,"Bottles")+SUMIFS('Expense Log'!$J$5:$J$154,'Expense Log'!$B$5:$B$154,$A46,'Expense Log'!$E$5:$E$154,"Sample Vials"))</f>
        <v/>
      </c>
      <c r="J46" s="33" t="str">
        <f aca="false">IF($A46="","",SUMIFS('Expense Log'!$J$5:$J$154,'Expense Log'!$B$5:$B$154,$A46,'Expense Log'!$E$5:$E$154,"Packaging"))</f>
        <v/>
      </c>
      <c r="K46" s="33" t="str">
        <f aca="false">IF($A46="","",SUMIFS('Expense Log'!$J$5:$J$154,'Expense Log'!$B$5:$B$154,$A46,'Expense Log'!$E$5:$E$154,"Labels"))</f>
        <v/>
      </c>
      <c r="L46" s="33" t="str">
        <f aca="false">IF($A46="","",SUMIFS('Expense Log'!$J$5:$J$154,'Expense Log'!$B$5:$B$154,$A46,'Expense Log'!$E$5:$E$154,"Shipping"))</f>
        <v/>
      </c>
      <c r="M46" s="33" t="str">
        <f aca="false">IF($A46="","",SUMIFS('Expense Log'!$J$5:$J$154,'Expense Log'!$B$5:$B$154,$A46,'Expense Log'!$E$5:$E$154,"Documentation"))</f>
        <v/>
      </c>
      <c r="N46" s="33" t="str">
        <f aca="false">IF($A46="","",SUMIFS('Expense Log'!$J$5:$J$154,'Expense Log'!$B$5:$B$154,$A46,'Expense Log'!$E$5:$E$154,"SDS"))</f>
        <v/>
      </c>
      <c r="O46" s="33" t="str">
        <f aca="false">IF($A46="","",SUMIFS('Expense Log'!$J$5:$J$154,'Expense Log'!$B$5:$B$154,$A46,'Expense Log'!$E$5:$E$154,"IFRA/Allergen"))</f>
        <v/>
      </c>
      <c r="P46" s="33" t="str">
        <f aca="false">IF($A46="","",SUMIFS('Expense Log'!$J$5:$J$154,'Expense Log'!$B$5:$B$154,$A46,'Expense Log'!$E$5:$E$154,"CPSR"))</f>
        <v/>
      </c>
      <c r="Q46" s="33" t="str">
        <f aca="false">IF($A46="","",SUMIFS('Expense Log'!$J$5:$J$154,'Expense Log'!$B$5:$B$154,$A46,'Expense Log'!$E$5:$E$154,"Compounding"))</f>
        <v/>
      </c>
      <c r="R46" s="33" t="str">
        <f aca="false">IF($A46="","",SUMIFS('Expense Log'!$J$5:$J$154,'Expense Log'!$B$5:$B$154,$A46,'Expense Log'!$E$5:$E$154,"External Perfumer"))</f>
        <v/>
      </c>
      <c r="S46" s="33" t="str">
        <f aca="false">IF($A46="","",SUMIFS('Expense Log'!$J$5:$J$154,'Expense Log'!$B$5:$B$154,$A46,'Expense Log'!$E$5:$E$154,"Payment Fees"))</f>
        <v/>
      </c>
      <c r="T46" s="33" t="str">
        <f aca="false">IF($A46="","",SUMIFS('Expense Log'!$J$5:$J$154,'Expense Log'!$B$5:$B$154,$A46,'Expense Log'!$E$5:$E$154,"Testing")+SUMIFS('Expense Log'!$J$5:$J$154,'Expense Log'!$B$5:$B$154,$A46,'Expense Log'!$E$5:$E$154,"Software")+SUMIFS('Expense Log'!$J$5:$J$154,'Expense Log'!$B$5:$B$154,$A46,'Expense Log'!$E$5:$E$154,"Other"))</f>
        <v/>
      </c>
      <c r="U46" s="33" t="str">
        <f aca="false">IF($A46="","",SUM($G46:$T46))</f>
        <v/>
      </c>
      <c r="V46" s="39" t="str">
        <f aca="false">IF($A46="","",SUMIFS('Iteration Tracker'!$T$5:$T$124,'Iteration Tracker'!$A$5:$A$124,$A46))</f>
        <v/>
      </c>
      <c r="W46" s="40"/>
      <c r="X46" s="33" t="str">
        <f aca="false">IF($A46="","",$V46*$W46)</f>
        <v/>
      </c>
      <c r="Y46" s="33" t="str">
        <f aca="false">IF($A46="","",$U46+$X46)</f>
        <v/>
      </c>
      <c r="Z46" s="33" t="str">
        <f aca="false">IF($A46="","",$D46-$U46)</f>
        <v/>
      </c>
      <c r="AA46" s="33" t="str">
        <f aca="false">IF($A46="","",$D46-$Y46)</f>
        <v/>
      </c>
      <c r="AB46" s="41" t="str">
        <f aca="false">IF(OR($A46="",$D46=0),"",$Z46/$D46)</f>
        <v/>
      </c>
      <c r="AC46" s="41" t="str">
        <f aca="false">IF(OR($A46="",$D46=0),"",$AA46/$D46)</f>
        <v/>
      </c>
      <c r="AD46" s="42" t="str">
        <f aca="false">IFERROR(IF($A46="","",$Z46/$V46),"")</f>
        <v/>
      </c>
    </row>
    <row r="47" customFormat="false" ht="18" hidden="false" customHeight="true" outlineLevel="0" collapsed="false">
      <c r="A47" s="30"/>
      <c r="B47" s="37" t="str">
        <f aca="false">IF($A47="","",IFERROR(INDEX('Fragrance Projects'!$C$5:$C$64,MATCH($A47,'Fragrance Projects'!$A$5:$A$64,0)),""))</f>
        <v/>
      </c>
      <c r="C47" s="37" t="str">
        <f aca="false">IF($A47="","",IFERROR(INDEX('Fragrance Projects'!$D$5:$D$64,MATCH($A47,'Fragrance Projects'!$A$5:$A$64,0)),""))</f>
        <v/>
      </c>
      <c r="D47" s="32"/>
      <c r="E47" s="33" t="str">
        <f aca="false">IF($A47="","",IFERROR(INDEX(Payments!$G$5:$G$64,MATCH($A47,Payments!$B$5:$B$64,0)),0)+IFERROR(INDEX(Payments!$K$5:$K$64,MATCH($A47,Payments!$B$5:$B$64,0)),0))</f>
        <v/>
      </c>
      <c r="F47" s="33" t="str">
        <f aca="false">IF($A47="","",$D47-$E47)</f>
        <v/>
      </c>
      <c r="G47" s="33" t="str">
        <f aca="false">IF($A47="","",SUMIFS('Expense Log'!$J$5:$J$154,'Expense Log'!$B$5:$B$154,$A47,'Expense Log'!$E$5:$E$154,"Raw Materials"))</f>
        <v/>
      </c>
      <c r="H47" s="33" t="str">
        <f aca="false">IF($A47="","",SUMIFS('Expense Log'!$J$5:$J$154,'Expense Log'!$B$5:$B$154,$A47,'Expense Log'!$E$5:$E$154,"Alcohol/Carrier"))</f>
        <v/>
      </c>
      <c r="I47" s="33" t="str">
        <f aca="false">IF($A47="","",SUMIFS('Expense Log'!$J$5:$J$154,'Expense Log'!$B$5:$B$154,$A47,'Expense Log'!$E$5:$E$154,"Bottles")+SUMIFS('Expense Log'!$J$5:$J$154,'Expense Log'!$B$5:$B$154,$A47,'Expense Log'!$E$5:$E$154,"Sample Vials"))</f>
        <v/>
      </c>
      <c r="J47" s="33" t="str">
        <f aca="false">IF($A47="","",SUMIFS('Expense Log'!$J$5:$J$154,'Expense Log'!$B$5:$B$154,$A47,'Expense Log'!$E$5:$E$154,"Packaging"))</f>
        <v/>
      </c>
      <c r="K47" s="33" t="str">
        <f aca="false">IF($A47="","",SUMIFS('Expense Log'!$J$5:$J$154,'Expense Log'!$B$5:$B$154,$A47,'Expense Log'!$E$5:$E$154,"Labels"))</f>
        <v/>
      </c>
      <c r="L47" s="33" t="str">
        <f aca="false">IF($A47="","",SUMIFS('Expense Log'!$J$5:$J$154,'Expense Log'!$B$5:$B$154,$A47,'Expense Log'!$E$5:$E$154,"Shipping"))</f>
        <v/>
      </c>
      <c r="M47" s="33" t="str">
        <f aca="false">IF($A47="","",SUMIFS('Expense Log'!$J$5:$J$154,'Expense Log'!$B$5:$B$154,$A47,'Expense Log'!$E$5:$E$154,"Documentation"))</f>
        <v/>
      </c>
      <c r="N47" s="33" t="str">
        <f aca="false">IF($A47="","",SUMIFS('Expense Log'!$J$5:$J$154,'Expense Log'!$B$5:$B$154,$A47,'Expense Log'!$E$5:$E$154,"SDS"))</f>
        <v/>
      </c>
      <c r="O47" s="33" t="str">
        <f aca="false">IF($A47="","",SUMIFS('Expense Log'!$J$5:$J$154,'Expense Log'!$B$5:$B$154,$A47,'Expense Log'!$E$5:$E$154,"IFRA/Allergen"))</f>
        <v/>
      </c>
      <c r="P47" s="33" t="str">
        <f aca="false">IF($A47="","",SUMIFS('Expense Log'!$J$5:$J$154,'Expense Log'!$B$5:$B$154,$A47,'Expense Log'!$E$5:$E$154,"CPSR"))</f>
        <v/>
      </c>
      <c r="Q47" s="33" t="str">
        <f aca="false">IF($A47="","",SUMIFS('Expense Log'!$J$5:$J$154,'Expense Log'!$B$5:$B$154,$A47,'Expense Log'!$E$5:$E$154,"Compounding"))</f>
        <v/>
      </c>
      <c r="R47" s="33" t="str">
        <f aca="false">IF($A47="","",SUMIFS('Expense Log'!$J$5:$J$154,'Expense Log'!$B$5:$B$154,$A47,'Expense Log'!$E$5:$E$154,"External Perfumer"))</f>
        <v/>
      </c>
      <c r="S47" s="33" t="str">
        <f aca="false">IF($A47="","",SUMIFS('Expense Log'!$J$5:$J$154,'Expense Log'!$B$5:$B$154,$A47,'Expense Log'!$E$5:$E$154,"Payment Fees"))</f>
        <v/>
      </c>
      <c r="T47" s="33" t="str">
        <f aca="false">IF($A47="","",SUMIFS('Expense Log'!$J$5:$J$154,'Expense Log'!$B$5:$B$154,$A47,'Expense Log'!$E$5:$E$154,"Testing")+SUMIFS('Expense Log'!$J$5:$J$154,'Expense Log'!$B$5:$B$154,$A47,'Expense Log'!$E$5:$E$154,"Software")+SUMIFS('Expense Log'!$J$5:$J$154,'Expense Log'!$B$5:$B$154,$A47,'Expense Log'!$E$5:$E$154,"Other"))</f>
        <v/>
      </c>
      <c r="U47" s="33" t="str">
        <f aca="false">IF($A47="","",SUM($G47:$T47))</f>
        <v/>
      </c>
      <c r="V47" s="39" t="str">
        <f aca="false">IF($A47="","",SUMIFS('Iteration Tracker'!$T$5:$T$124,'Iteration Tracker'!$A$5:$A$124,$A47))</f>
        <v/>
      </c>
      <c r="W47" s="40"/>
      <c r="X47" s="33" t="str">
        <f aca="false">IF($A47="","",$V47*$W47)</f>
        <v/>
      </c>
      <c r="Y47" s="33" t="str">
        <f aca="false">IF($A47="","",$U47+$X47)</f>
        <v/>
      </c>
      <c r="Z47" s="33" t="str">
        <f aca="false">IF($A47="","",$D47-$U47)</f>
        <v/>
      </c>
      <c r="AA47" s="33" t="str">
        <f aca="false">IF($A47="","",$D47-$Y47)</f>
        <v/>
      </c>
      <c r="AB47" s="41" t="str">
        <f aca="false">IF(OR($A47="",$D47=0),"",$Z47/$D47)</f>
        <v/>
      </c>
      <c r="AC47" s="41" t="str">
        <f aca="false">IF(OR($A47="",$D47=0),"",$AA47/$D47)</f>
        <v/>
      </c>
      <c r="AD47" s="42" t="str">
        <f aca="false">IFERROR(IF($A47="","",$Z47/$V47),"")</f>
        <v/>
      </c>
    </row>
    <row r="48" customFormat="false" ht="18" hidden="false" customHeight="true" outlineLevel="0" collapsed="false">
      <c r="A48" s="30"/>
      <c r="B48" s="37" t="str">
        <f aca="false">IF($A48="","",IFERROR(INDEX('Fragrance Projects'!$C$5:$C$64,MATCH($A48,'Fragrance Projects'!$A$5:$A$64,0)),""))</f>
        <v/>
      </c>
      <c r="C48" s="37" t="str">
        <f aca="false">IF($A48="","",IFERROR(INDEX('Fragrance Projects'!$D$5:$D$64,MATCH($A48,'Fragrance Projects'!$A$5:$A$64,0)),""))</f>
        <v/>
      </c>
      <c r="D48" s="32"/>
      <c r="E48" s="33" t="str">
        <f aca="false">IF($A48="","",IFERROR(INDEX(Payments!$G$5:$G$64,MATCH($A48,Payments!$B$5:$B$64,0)),0)+IFERROR(INDEX(Payments!$K$5:$K$64,MATCH($A48,Payments!$B$5:$B$64,0)),0))</f>
        <v/>
      </c>
      <c r="F48" s="33" t="str">
        <f aca="false">IF($A48="","",$D48-$E48)</f>
        <v/>
      </c>
      <c r="G48" s="33" t="str">
        <f aca="false">IF($A48="","",SUMIFS('Expense Log'!$J$5:$J$154,'Expense Log'!$B$5:$B$154,$A48,'Expense Log'!$E$5:$E$154,"Raw Materials"))</f>
        <v/>
      </c>
      <c r="H48" s="33" t="str">
        <f aca="false">IF($A48="","",SUMIFS('Expense Log'!$J$5:$J$154,'Expense Log'!$B$5:$B$154,$A48,'Expense Log'!$E$5:$E$154,"Alcohol/Carrier"))</f>
        <v/>
      </c>
      <c r="I48" s="33" t="str">
        <f aca="false">IF($A48="","",SUMIFS('Expense Log'!$J$5:$J$154,'Expense Log'!$B$5:$B$154,$A48,'Expense Log'!$E$5:$E$154,"Bottles")+SUMIFS('Expense Log'!$J$5:$J$154,'Expense Log'!$B$5:$B$154,$A48,'Expense Log'!$E$5:$E$154,"Sample Vials"))</f>
        <v/>
      </c>
      <c r="J48" s="33" t="str">
        <f aca="false">IF($A48="","",SUMIFS('Expense Log'!$J$5:$J$154,'Expense Log'!$B$5:$B$154,$A48,'Expense Log'!$E$5:$E$154,"Packaging"))</f>
        <v/>
      </c>
      <c r="K48" s="33" t="str">
        <f aca="false">IF($A48="","",SUMIFS('Expense Log'!$J$5:$J$154,'Expense Log'!$B$5:$B$154,$A48,'Expense Log'!$E$5:$E$154,"Labels"))</f>
        <v/>
      </c>
      <c r="L48" s="33" t="str">
        <f aca="false">IF($A48="","",SUMIFS('Expense Log'!$J$5:$J$154,'Expense Log'!$B$5:$B$154,$A48,'Expense Log'!$E$5:$E$154,"Shipping"))</f>
        <v/>
      </c>
      <c r="M48" s="33" t="str">
        <f aca="false">IF($A48="","",SUMIFS('Expense Log'!$J$5:$J$154,'Expense Log'!$B$5:$B$154,$A48,'Expense Log'!$E$5:$E$154,"Documentation"))</f>
        <v/>
      </c>
      <c r="N48" s="33" t="str">
        <f aca="false">IF($A48="","",SUMIFS('Expense Log'!$J$5:$J$154,'Expense Log'!$B$5:$B$154,$A48,'Expense Log'!$E$5:$E$154,"SDS"))</f>
        <v/>
      </c>
      <c r="O48" s="33" t="str">
        <f aca="false">IF($A48="","",SUMIFS('Expense Log'!$J$5:$J$154,'Expense Log'!$B$5:$B$154,$A48,'Expense Log'!$E$5:$E$154,"IFRA/Allergen"))</f>
        <v/>
      </c>
      <c r="P48" s="33" t="str">
        <f aca="false">IF($A48="","",SUMIFS('Expense Log'!$J$5:$J$154,'Expense Log'!$B$5:$B$154,$A48,'Expense Log'!$E$5:$E$154,"CPSR"))</f>
        <v/>
      </c>
      <c r="Q48" s="33" t="str">
        <f aca="false">IF($A48="","",SUMIFS('Expense Log'!$J$5:$J$154,'Expense Log'!$B$5:$B$154,$A48,'Expense Log'!$E$5:$E$154,"Compounding"))</f>
        <v/>
      </c>
      <c r="R48" s="33" t="str">
        <f aca="false">IF($A48="","",SUMIFS('Expense Log'!$J$5:$J$154,'Expense Log'!$B$5:$B$154,$A48,'Expense Log'!$E$5:$E$154,"External Perfumer"))</f>
        <v/>
      </c>
      <c r="S48" s="33" t="str">
        <f aca="false">IF($A48="","",SUMIFS('Expense Log'!$J$5:$J$154,'Expense Log'!$B$5:$B$154,$A48,'Expense Log'!$E$5:$E$154,"Payment Fees"))</f>
        <v/>
      </c>
      <c r="T48" s="33" t="str">
        <f aca="false">IF($A48="","",SUMIFS('Expense Log'!$J$5:$J$154,'Expense Log'!$B$5:$B$154,$A48,'Expense Log'!$E$5:$E$154,"Testing")+SUMIFS('Expense Log'!$J$5:$J$154,'Expense Log'!$B$5:$B$154,$A48,'Expense Log'!$E$5:$E$154,"Software")+SUMIFS('Expense Log'!$J$5:$J$154,'Expense Log'!$B$5:$B$154,$A48,'Expense Log'!$E$5:$E$154,"Other"))</f>
        <v/>
      </c>
      <c r="U48" s="33" t="str">
        <f aca="false">IF($A48="","",SUM($G48:$T48))</f>
        <v/>
      </c>
      <c r="V48" s="39" t="str">
        <f aca="false">IF($A48="","",SUMIFS('Iteration Tracker'!$T$5:$T$124,'Iteration Tracker'!$A$5:$A$124,$A48))</f>
        <v/>
      </c>
      <c r="W48" s="40"/>
      <c r="X48" s="33" t="str">
        <f aca="false">IF($A48="","",$V48*$W48)</f>
        <v/>
      </c>
      <c r="Y48" s="33" t="str">
        <f aca="false">IF($A48="","",$U48+$X48)</f>
        <v/>
      </c>
      <c r="Z48" s="33" t="str">
        <f aca="false">IF($A48="","",$D48-$U48)</f>
        <v/>
      </c>
      <c r="AA48" s="33" t="str">
        <f aca="false">IF($A48="","",$D48-$Y48)</f>
        <v/>
      </c>
      <c r="AB48" s="41" t="str">
        <f aca="false">IF(OR($A48="",$D48=0),"",$Z48/$D48)</f>
        <v/>
      </c>
      <c r="AC48" s="41" t="str">
        <f aca="false">IF(OR($A48="",$D48=0),"",$AA48/$D48)</f>
        <v/>
      </c>
      <c r="AD48" s="42" t="str">
        <f aca="false">IFERROR(IF($A48="","",$Z48/$V48),"")</f>
        <v/>
      </c>
    </row>
    <row r="49" customFormat="false" ht="18" hidden="false" customHeight="true" outlineLevel="0" collapsed="false">
      <c r="A49" s="30"/>
      <c r="B49" s="37" t="str">
        <f aca="false">IF($A49="","",IFERROR(INDEX('Fragrance Projects'!$C$5:$C$64,MATCH($A49,'Fragrance Projects'!$A$5:$A$64,0)),""))</f>
        <v/>
      </c>
      <c r="C49" s="37" t="str">
        <f aca="false">IF($A49="","",IFERROR(INDEX('Fragrance Projects'!$D$5:$D$64,MATCH($A49,'Fragrance Projects'!$A$5:$A$64,0)),""))</f>
        <v/>
      </c>
      <c r="D49" s="32"/>
      <c r="E49" s="33" t="str">
        <f aca="false">IF($A49="","",IFERROR(INDEX(Payments!$G$5:$G$64,MATCH($A49,Payments!$B$5:$B$64,0)),0)+IFERROR(INDEX(Payments!$K$5:$K$64,MATCH($A49,Payments!$B$5:$B$64,0)),0))</f>
        <v/>
      </c>
      <c r="F49" s="33" t="str">
        <f aca="false">IF($A49="","",$D49-$E49)</f>
        <v/>
      </c>
      <c r="G49" s="33" t="str">
        <f aca="false">IF($A49="","",SUMIFS('Expense Log'!$J$5:$J$154,'Expense Log'!$B$5:$B$154,$A49,'Expense Log'!$E$5:$E$154,"Raw Materials"))</f>
        <v/>
      </c>
      <c r="H49" s="33" t="str">
        <f aca="false">IF($A49="","",SUMIFS('Expense Log'!$J$5:$J$154,'Expense Log'!$B$5:$B$154,$A49,'Expense Log'!$E$5:$E$154,"Alcohol/Carrier"))</f>
        <v/>
      </c>
      <c r="I49" s="33" t="str">
        <f aca="false">IF($A49="","",SUMIFS('Expense Log'!$J$5:$J$154,'Expense Log'!$B$5:$B$154,$A49,'Expense Log'!$E$5:$E$154,"Bottles")+SUMIFS('Expense Log'!$J$5:$J$154,'Expense Log'!$B$5:$B$154,$A49,'Expense Log'!$E$5:$E$154,"Sample Vials"))</f>
        <v/>
      </c>
      <c r="J49" s="33" t="str">
        <f aca="false">IF($A49="","",SUMIFS('Expense Log'!$J$5:$J$154,'Expense Log'!$B$5:$B$154,$A49,'Expense Log'!$E$5:$E$154,"Packaging"))</f>
        <v/>
      </c>
      <c r="K49" s="33" t="str">
        <f aca="false">IF($A49="","",SUMIFS('Expense Log'!$J$5:$J$154,'Expense Log'!$B$5:$B$154,$A49,'Expense Log'!$E$5:$E$154,"Labels"))</f>
        <v/>
      </c>
      <c r="L49" s="33" t="str">
        <f aca="false">IF($A49="","",SUMIFS('Expense Log'!$J$5:$J$154,'Expense Log'!$B$5:$B$154,$A49,'Expense Log'!$E$5:$E$154,"Shipping"))</f>
        <v/>
      </c>
      <c r="M49" s="33" t="str">
        <f aca="false">IF($A49="","",SUMIFS('Expense Log'!$J$5:$J$154,'Expense Log'!$B$5:$B$154,$A49,'Expense Log'!$E$5:$E$154,"Documentation"))</f>
        <v/>
      </c>
      <c r="N49" s="33" t="str">
        <f aca="false">IF($A49="","",SUMIFS('Expense Log'!$J$5:$J$154,'Expense Log'!$B$5:$B$154,$A49,'Expense Log'!$E$5:$E$154,"SDS"))</f>
        <v/>
      </c>
      <c r="O49" s="33" t="str">
        <f aca="false">IF($A49="","",SUMIFS('Expense Log'!$J$5:$J$154,'Expense Log'!$B$5:$B$154,$A49,'Expense Log'!$E$5:$E$154,"IFRA/Allergen"))</f>
        <v/>
      </c>
      <c r="P49" s="33" t="str">
        <f aca="false">IF($A49="","",SUMIFS('Expense Log'!$J$5:$J$154,'Expense Log'!$B$5:$B$154,$A49,'Expense Log'!$E$5:$E$154,"CPSR"))</f>
        <v/>
      </c>
      <c r="Q49" s="33" t="str">
        <f aca="false">IF($A49="","",SUMIFS('Expense Log'!$J$5:$J$154,'Expense Log'!$B$5:$B$154,$A49,'Expense Log'!$E$5:$E$154,"Compounding"))</f>
        <v/>
      </c>
      <c r="R49" s="33" t="str">
        <f aca="false">IF($A49="","",SUMIFS('Expense Log'!$J$5:$J$154,'Expense Log'!$B$5:$B$154,$A49,'Expense Log'!$E$5:$E$154,"External Perfumer"))</f>
        <v/>
      </c>
      <c r="S49" s="33" t="str">
        <f aca="false">IF($A49="","",SUMIFS('Expense Log'!$J$5:$J$154,'Expense Log'!$B$5:$B$154,$A49,'Expense Log'!$E$5:$E$154,"Payment Fees"))</f>
        <v/>
      </c>
      <c r="T49" s="33" t="str">
        <f aca="false">IF($A49="","",SUMIFS('Expense Log'!$J$5:$J$154,'Expense Log'!$B$5:$B$154,$A49,'Expense Log'!$E$5:$E$154,"Testing")+SUMIFS('Expense Log'!$J$5:$J$154,'Expense Log'!$B$5:$B$154,$A49,'Expense Log'!$E$5:$E$154,"Software")+SUMIFS('Expense Log'!$J$5:$J$154,'Expense Log'!$B$5:$B$154,$A49,'Expense Log'!$E$5:$E$154,"Other"))</f>
        <v/>
      </c>
      <c r="U49" s="33" t="str">
        <f aca="false">IF($A49="","",SUM($G49:$T49))</f>
        <v/>
      </c>
      <c r="V49" s="39" t="str">
        <f aca="false">IF($A49="","",SUMIFS('Iteration Tracker'!$T$5:$T$124,'Iteration Tracker'!$A$5:$A$124,$A49))</f>
        <v/>
      </c>
      <c r="W49" s="40"/>
      <c r="X49" s="33" t="str">
        <f aca="false">IF($A49="","",$V49*$W49)</f>
        <v/>
      </c>
      <c r="Y49" s="33" t="str">
        <f aca="false">IF($A49="","",$U49+$X49)</f>
        <v/>
      </c>
      <c r="Z49" s="33" t="str">
        <f aca="false">IF($A49="","",$D49-$U49)</f>
        <v/>
      </c>
      <c r="AA49" s="33" t="str">
        <f aca="false">IF($A49="","",$D49-$Y49)</f>
        <v/>
      </c>
      <c r="AB49" s="41" t="str">
        <f aca="false">IF(OR($A49="",$D49=0),"",$Z49/$D49)</f>
        <v/>
      </c>
      <c r="AC49" s="41" t="str">
        <f aca="false">IF(OR($A49="",$D49=0),"",$AA49/$D49)</f>
        <v/>
      </c>
      <c r="AD49" s="42" t="str">
        <f aca="false">IFERROR(IF($A49="","",$Z49/$V49),"")</f>
        <v/>
      </c>
    </row>
    <row r="50" customFormat="false" ht="18" hidden="false" customHeight="true" outlineLevel="0" collapsed="false">
      <c r="A50" s="30"/>
      <c r="B50" s="37" t="str">
        <f aca="false">IF($A50="","",IFERROR(INDEX('Fragrance Projects'!$C$5:$C$64,MATCH($A50,'Fragrance Projects'!$A$5:$A$64,0)),""))</f>
        <v/>
      </c>
      <c r="C50" s="37" t="str">
        <f aca="false">IF($A50="","",IFERROR(INDEX('Fragrance Projects'!$D$5:$D$64,MATCH($A50,'Fragrance Projects'!$A$5:$A$64,0)),""))</f>
        <v/>
      </c>
      <c r="D50" s="32"/>
      <c r="E50" s="33" t="str">
        <f aca="false">IF($A50="","",IFERROR(INDEX(Payments!$G$5:$G$64,MATCH($A50,Payments!$B$5:$B$64,0)),0)+IFERROR(INDEX(Payments!$K$5:$K$64,MATCH($A50,Payments!$B$5:$B$64,0)),0))</f>
        <v/>
      </c>
      <c r="F50" s="33" t="str">
        <f aca="false">IF($A50="","",$D50-$E50)</f>
        <v/>
      </c>
      <c r="G50" s="33" t="str">
        <f aca="false">IF($A50="","",SUMIFS('Expense Log'!$J$5:$J$154,'Expense Log'!$B$5:$B$154,$A50,'Expense Log'!$E$5:$E$154,"Raw Materials"))</f>
        <v/>
      </c>
      <c r="H50" s="33" t="str">
        <f aca="false">IF($A50="","",SUMIFS('Expense Log'!$J$5:$J$154,'Expense Log'!$B$5:$B$154,$A50,'Expense Log'!$E$5:$E$154,"Alcohol/Carrier"))</f>
        <v/>
      </c>
      <c r="I50" s="33" t="str">
        <f aca="false">IF($A50="","",SUMIFS('Expense Log'!$J$5:$J$154,'Expense Log'!$B$5:$B$154,$A50,'Expense Log'!$E$5:$E$154,"Bottles")+SUMIFS('Expense Log'!$J$5:$J$154,'Expense Log'!$B$5:$B$154,$A50,'Expense Log'!$E$5:$E$154,"Sample Vials"))</f>
        <v/>
      </c>
      <c r="J50" s="33" t="str">
        <f aca="false">IF($A50="","",SUMIFS('Expense Log'!$J$5:$J$154,'Expense Log'!$B$5:$B$154,$A50,'Expense Log'!$E$5:$E$154,"Packaging"))</f>
        <v/>
      </c>
      <c r="K50" s="33" t="str">
        <f aca="false">IF($A50="","",SUMIFS('Expense Log'!$J$5:$J$154,'Expense Log'!$B$5:$B$154,$A50,'Expense Log'!$E$5:$E$154,"Labels"))</f>
        <v/>
      </c>
      <c r="L50" s="33" t="str">
        <f aca="false">IF($A50="","",SUMIFS('Expense Log'!$J$5:$J$154,'Expense Log'!$B$5:$B$154,$A50,'Expense Log'!$E$5:$E$154,"Shipping"))</f>
        <v/>
      </c>
      <c r="M50" s="33" t="str">
        <f aca="false">IF($A50="","",SUMIFS('Expense Log'!$J$5:$J$154,'Expense Log'!$B$5:$B$154,$A50,'Expense Log'!$E$5:$E$154,"Documentation"))</f>
        <v/>
      </c>
      <c r="N50" s="33" t="str">
        <f aca="false">IF($A50="","",SUMIFS('Expense Log'!$J$5:$J$154,'Expense Log'!$B$5:$B$154,$A50,'Expense Log'!$E$5:$E$154,"SDS"))</f>
        <v/>
      </c>
      <c r="O50" s="33" t="str">
        <f aca="false">IF($A50="","",SUMIFS('Expense Log'!$J$5:$J$154,'Expense Log'!$B$5:$B$154,$A50,'Expense Log'!$E$5:$E$154,"IFRA/Allergen"))</f>
        <v/>
      </c>
      <c r="P50" s="33" t="str">
        <f aca="false">IF($A50="","",SUMIFS('Expense Log'!$J$5:$J$154,'Expense Log'!$B$5:$B$154,$A50,'Expense Log'!$E$5:$E$154,"CPSR"))</f>
        <v/>
      </c>
      <c r="Q50" s="33" t="str">
        <f aca="false">IF($A50="","",SUMIFS('Expense Log'!$J$5:$J$154,'Expense Log'!$B$5:$B$154,$A50,'Expense Log'!$E$5:$E$154,"Compounding"))</f>
        <v/>
      </c>
      <c r="R50" s="33" t="str">
        <f aca="false">IF($A50="","",SUMIFS('Expense Log'!$J$5:$J$154,'Expense Log'!$B$5:$B$154,$A50,'Expense Log'!$E$5:$E$154,"External Perfumer"))</f>
        <v/>
      </c>
      <c r="S50" s="33" t="str">
        <f aca="false">IF($A50="","",SUMIFS('Expense Log'!$J$5:$J$154,'Expense Log'!$B$5:$B$154,$A50,'Expense Log'!$E$5:$E$154,"Payment Fees"))</f>
        <v/>
      </c>
      <c r="T50" s="33" t="str">
        <f aca="false">IF($A50="","",SUMIFS('Expense Log'!$J$5:$J$154,'Expense Log'!$B$5:$B$154,$A50,'Expense Log'!$E$5:$E$154,"Testing")+SUMIFS('Expense Log'!$J$5:$J$154,'Expense Log'!$B$5:$B$154,$A50,'Expense Log'!$E$5:$E$154,"Software")+SUMIFS('Expense Log'!$J$5:$J$154,'Expense Log'!$B$5:$B$154,$A50,'Expense Log'!$E$5:$E$154,"Other"))</f>
        <v/>
      </c>
      <c r="U50" s="33" t="str">
        <f aca="false">IF($A50="","",SUM($G50:$T50))</f>
        <v/>
      </c>
      <c r="V50" s="39" t="str">
        <f aca="false">IF($A50="","",SUMIFS('Iteration Tracker'!$T$5:$T$124,'Iteration Tracker'!$A$5:$A$124,$A50))</f>
        <v/>
      </c>
      <c r="W50" s="40"/>
      <c r="X50" s="33" t="str">
        <f aca="false">IF($A50="","",$V50*$W50)</f>
        <v/>
      </c>
      <c r="Y50" s="33" t="str">
        <f aca="false">IF($A50="","",$U50+$X50)</f>
        <v/>
      </c>
      <c r="Z50" s="33" t="str">
        <f aca="false">IF($A50="","",$D50-$U50)</f>
        <v/>
      </c>
      <c r="AA50" s="33" t="str">
        <f aca="false">IF($A50="","",$D50-$Y50)</f>
        <v/>
      </c>
      <c r="AB50" s="41" t="str">
        <f aca="false">IF(OR($A50="",$D50=0),"",$Z50/$D50)</f>
        <v/>
      </c>
      <c r="AC50" s="41" t="str">
        <f aca="false">IF(OR($A50="",$D50=0),"",$AA50/$D50)</f>
        <v/>
      </c>
      <c r="AD50" s="42" t="str">
        <f aca="false">IFERROR(IF($A50="","",$Z50/$V50),"")</f>
        <v/>
      </c>
    </row>
    <row r="51" customFormat="false" ht="18" hidden="false" customHeight="true" outlineLevel="0" collapsed="false">
      <c r="A51" s="30"/>
      <c r="B51" s="37" t="str">
        <f aca="false">IF($A51="","",IFERROR(INDEX('Fragrance Projects'!$C$5:$C$64,MATCH($A51,'Fragrance Projects'!$A$5:$A$64,0)),""))</f>
        <v/>
      </c>
      <c r="C51" s="37" t="str">
        <f aca="false">IF($A51="","",IFERROR(INDEX('Fragrance Projects'!$D$5:$D$64,MATCH($A51,'Fragrance Projects'!$A$5:$A$64,0)),""))</f>
        <v/>
      </c>
      <c r="D51" s="32"/>
      <c r="E51" s="33" t="str">
        <f aca="false">IF($A51="","",IFERROR(INDEX(Payments!$G$5:$G$64,MATCH($A51,Payments!$B$5:$B$64,0)),0)+IFERROR(INDEX(Payments!$K$5:$K$64,MATCH($A51,Payments!$B$5:$B$64,0)),0))</f>
        <v/>
      </c>
      <c r="F51" s="33" t="str">
        <f aca="false">IF($A51="","",$D51-$E51)</f>
        <v/>
      </c>
      <c r="G51" s="33" t="str">
        <f aca="false">IF($A51="","",SUMIFS('Expense Log'!$J$5:$J$154,'Expense Log'!$B$5:$B$154,$A51,'Expense Log'!$E$5:$E$154,"Raw Materials"))</f>
        <v/>
      </c>
      <c r="H51" s="33" t="str">
        <f aca="false">IF($A51="","",SUMIFS('Expense Log'!$J$5:$J$154,'Expense Log'!$B$5:$B$154,$A51,'Expense Log'!$E$5:$E$154,"Alcohol/Carrier"))</f>
        <v/>
      </c>
      <c r="I51" s="33" t="str">
        <f aca="false">IF($A51="","",SUMIFS('Expense Log'!$J$5:$J$154,'Expense Log'!$B$5:$B$154,$A51,'Expense Log'!$E$5:$E$154,"Bottles")+SUMIFS('Expense Log'!$J$5:$J$154,'Expense Log'!$B$5:$B$154,$A51,'Expense Log'!$E$5:$E$154,"Sample Vials"))</f>
        <v/>
      </c>
      <c r="J51" s="33" t="str">
        <f aca="false">IF($A51="","",SUMIFS('Expense Log'!$J$5:$J$154,'Expense Log'!$B$5:$B$154,$A51,'Expense Log'!$E$5:$E$154,"Packaging"))</f>
        <v/>
      </c>
      <c r="K51" s="33" t="str">
        <f aca="false">IF($A51="","",SUMIFS('Expense Log'!$J$5:$J$154,'Expense Log'!$B$5:$B$154,$A51,'Expense Log'!$E$5:$E$154,"Labels"))</f>
        <v/>
      </c>
      <c r="L51" s="33" t="str">
        <f aca="false">IF($A51="","",SUMIFS('Expense Log'!$J$5:$J$154,'Expense Log'!$B$5:$B$154,$A51,'Expense Log'!$E$5:$E$154,"Shipping"))</f>
        <v/>
      </c>
      <c r="M51" s="33" t="str">
        <f aca="false">IF($A51="","",SUMIFS('Expense Log'!$J$5:$J$154,'Expense Log'!$B$5:$B$154,$A51,'Expense Log'!$E$5:$E$154,"Documentation"))</f>
        <v/>
      </c>
      <c r="N51" s="33" t="str">
        <f aca="false">IF($A51="","",SUMIFS('Expense Log'!$J$5:$J$154,'Expense Log'!$B$5:$B$154,$A51,'Expense Log'!$E$5:$E$154,"SDS"))</f>
        <v/>
      </c>
      <c r="O51" s="33" t="str">
        <f aca="false">IF($A51="","",SUMIFS('Expense Log'!$J$5:$J$154,'Expense Log'!$B$5:$B$154,$A51,'Expense Log'!$E$5:$E$154,"IFRA/Allergen"))</f>
        <v/>
      </c>
      <c r="P51" s="33" t="str">
        <f aca="false">IF($A51="","",SUMIFS('Expense Log'!$J$5:$J$154,'Expense Log'!$B$5:$B$154,$A51,'Expense Log'!$E$5:$E$154,"CPSR"))</f>
        <v/>
      </c>
      <c r="Q51" s="33" t="str">
        <f aca="false">IF($A51="","",SUMIFS('Expense Log'!$J$5:$J$154,'Expense Log'!$B$5:$B$154,$A51,'Expense Log'!$E$5:$E$154,"Compounding"))</f>
        <v/>
      </c>
      <c r="R51" s="33" t="str">
        <f aca="false">IF($A51="","",SUMIFS('Expense Log'!$J$5:$J$154,'Expense Log'!$B$5:$B$154,$A51,'Expense Log'!$E$5:$E$154,"External Perfumer"))</f>
        <v/>
      </c>
      <c r="S51" s="33" t="str">
        <f aca="false">IF($A51="","",SUMIFS('Expense Log'!$J$5:$J$154,'Expense Log'!$B$5:$B$154,$A51,'Expense Log'!$E$5:$E$154,"Payment Fees"))</f>
        <v/>
      </c>
      <c r="T51" s="33" t="str">
        <f aca="false">IF($A51="","",SUMIFS('Expense Log'!$J$5:$J$154,'Expense Log'!$B$5:$B$154,$A51,'Expense Log'!$E$5:$E$154,"Testing")+SUMIFS('Expense Log'!$J$5:$J$154,'Expense Log'!$B$5:$B$154,$A51,'Expense Log'!$E$5:$E$154,"Software")+SUMIFS('Expense Log'!$J$5:$J$154,'Expense Log'!$B$5:$B$154,$A51,'Expense Log'!$E$5:$E$154,"Other"))</f>
        <v/>
      </c>
      <c r="U51" s="33" t="str">
        <f aca="false">IF($A51="","",SUM($G51:$T51))</f>
        <v/>
      </c>
      <c r="V51" s="39" t="str">
        <f aca="false">IF($A51="","",SUMIFS('Iteration Tracker'!$T$5:$T$124,'Iteration Tracker'!$A$5:$A$124,$A51))</f>
        <v/>
      </c>
      <c r="W51" s="40"/>
      <c r="X51" s="33" t="str">
        <f aca="false">IF($A51="","",$V51*$W51)</f>
        <v/>
      </c>
      <c r="Y51" s="33" t="str">
        <f aca="false">IF($A51="","",$U51+$X51)</f>
        <v/>
      </c>
      <c r="Z51" s="33" t="str">
        <f aca="false">IF($A51="","",$D51-$U51)</f>
        <v/>
      </c>
      <c r="AA51" s="33" t="str">
        <f aca="false">IF($A51="","",$D51-$Y51)</f>
        <v/>
      </c>
      <c r="AB51" s="41" t="str">
        <f aca="false">IF(OR($A51="",$D51=0),"",$Z51/$D51)</f>
        <v/>
      </c>
      <c r="AC51" s="41" t="str">
        <f aca="false">IF(OR($A51="",$D51=0),"",$AA51/$D51)</f>
        <v/>
      </c>
      <c r="AD51" s="42" t="str">
        <f aca="false">IFERROR(IF($A51="","",$Z51/$V51),"")</f>
        <v/>
      </c>
    </row>
    <row r="52" customFormat="false" ht="18" hidden="false" customHeight="true" outlineLevel="0" collapsed="false">
      <c r="A52" s="30"/>
      <c r="B52" s="37" t="str">
        <f aca="false">IF($A52="","",IFERROR(INDEX('Fragrance Projects'!$C$5:$C$64,MATCH($A52,'Fragrance Projects'!$A$5:$A$64,0)),""))</f>
        <v/>
      </c>
      <c r="C52" s="37" t="str">
        <f aca="false">IF($A52="","",IFERROR(INDEX('Fragrance Projects'!$D$5:$D$64,MATCH($A52,'Fragrance Projects'!$A$5:$A$64,0)),""))</f>
        <v/>
      </c>
      <c r="D52" s="32"/>
      <c r="E52" s="33" t="str">
        <f aca="false">IF($A52="","",IFERROR(INDEX(Payments!$G$5:$G$64,MATCH($A52,Payments!$B$5:$B$64,0)),0)+IFERROR(INDEX(Payments!$K$5:$K$64,MATCH($A52,Payments!$B$5:$B$64,0)),0))</f>
        <v/>
      </c>
      <c r="F52" s="33" t="str">
        <f aca="false">IF($A52="","",$D52-$E52)</f>
        <v/>
      </c>
      <c r="G52" s="33" t="str">
        <f aca="false">IF($A52="","",SUMIFS('Expense Log'!$J$5:$J$154,'Expense Log'!$B$5:$B$154,$A52,'Expense Log'!$E$5:$E$154,"Raw Materials"))</f>
        <v/>
      </c>
      <c r="H52" s="33" t="str">
        <f aca="false">IF($A52="","",SUMIFS('Expense Log'!$J$5:$J$154,'Expense Log'!$B$5:$B$154,$A52,'Expense Log'!$E$5:$E$154,"Alcohol/Carrier"))</f>
        <v/>
      </c>
      <c r="I52" s="33" t="str">
        <f aca="false">IF($A52="","",SUMIFS('Expense Log'!$J$5:$J$154,'Expense Log'!$B$5:$B$154,$A52,'Expense Log'!$E$5:$E$154,"Bottles")+SUMIFS('Expense Log'!$J$5:$J$154,'Expense Log'!$B$5:$B$154,$A52,'Expense Log'!$E$5:$E$154,"Sample Vials"))</f>
        <v/>
      </c>
      <c r="J52" s="33" t="str">
        <f aca="false">IF($A52="","",SUMIFS('Expense Log'!$J$5:$J$154,'Expense Log'!$B$5:$B$154,$A52,'Expense Log'!$E$5:$E$154,"Packaging"))</f>
        <v/>
      </c>
      <c r="K52" s="33" t="str">
        <f aca="false">IF($A52="","",SUMIFS('Expense Log'!$J$5:$J$154,'Expense Log'!$B$5:$B$154,$A52,'Expense Log'!$E$5:$E$154,"Labels"))</f>
        <v/>
      </c>
      <c r="L52" s="33" t="str">
        <f aca="false">IF($A52="","",SUMIFS('Expense Log'!$J$5:$J$154,'Expense Log'!$B$5:$B$154,$A52,'Expense Log'!$E$5:$E$154,"Shipping"))</f>
        <v/>
      </c>
      <c r="M52" s="33" t="str">
        <f aca="false">IF($A52="","",SUMIFS('Expense Log'!$J$5:$J$154,'Expense Log'!$B$5:$B$154,$A52,'Expense Log'!$E$5:$E$154,"Documentation"))</f>
        <v/>
      </c>
      <c r="N52" s="33" t="str">
        <f aca="false">IF($A52="","",SUMIFS('Expense Log'!$J$5:$J$154,'Expense Log'!$B$5:$B$154,$A52,'Expense Log'!$E$5:$E$154,"SDS"))</f>
        <v/>
      </c>
      <c r="O52" s="33" t="str">
        <f aca="false">IF($A52="","",SUMIFS('Expense Log'!$J$5:$J$154,'Expense Log'!$B$5:$B$154,$A52,'Expense Log'!$E$5:$E$154,"IFRA/Allergen"))</f>
        <v/>
      </c>
      <c r="P52" s="33" t="str">
        <f aca="false">IF($A52="","",SUMIFS('Expense Log'!$J$5:$J$154,'Expense Log'!$B$5:$B$154,$A52,'Expense Log'!$E$5:$E$154,"CPSR"))</f>
        <v/>
      </c>
      <c r="Q52" s="33" t="str">
        <f aca="false">IF($A52="","",SUMIFS('Expense Log'!$J$5:$J$154,'Expense Log'!$B$5:$B$154,$A52,'Expense Log'!$E$5:$E$154,"Compounding"))</f>
        <v/>
      </c>
      <c r="R52" s="33" t="str">
        <f aca="false">IF($A52="","",SUMIFS('Expense Log'!$J$5:$J$154,'Expense Log'!$B$5:$B$154,$A52,'Expense Log'!$E$5:$E$154,"External Perfumer"))</f>
        <v/>
      </c>
      <c r="S52" s="33" t="str">
        <f aca="false">IF($A52="","",SUMIFS('Expense Log'!$J$5:$J$154,'Expense Log'!$B$5:$B$154,$A52,'Expense Log'!$E$5:$E$154,"Payment Fees"))</f>
        <v/>
      </c>
      <c r="T52" s="33" t="str">
        <f aca="false">IF($A52="","",SUMIFS('Expense Log'!$J$5:$J$154,'Expense Log'!$B$5:$B$154,$A52,'Expense Log'!$E$5:$E$154,"Testing")+SUMIFS('Expense Log'!$J$5:$J$154,'Expense Log'!$B$5:$B$154,$A52,'Expense Log'!$E$5:$E$154,"Software")+SUMIFS('Expense Log'!$J$5:$J$154,'Expense Log'!$B$5:$B$154,$A52,'Expense Log'!$E$5:$E$154,"Other"))</f>
        <v/>
      </c>
      <c r="U52" s="33" t="str">
        <f aca="false">IF($A52="","",SUM($G52:$T52))</f>
        <v/>
      </c>
      <c r="V52" s="39" t="str">
        <f aca="false">IF($A52="","",SUMIFS('Iteration Tracker'!$T$5:$T$124,'Iteration Tracker'!$A$5:$A$124,$A52))</f>
        <v/>
      </c>
      <c r="W52" s="40"/>
      <c r="X52" s="33" t="str">
        <f aca="false">IF($A52="","",$V52*$W52)</f>
        <v/>
      </c>
      <c r="Y52" s="33" t="str">
        <f aca="false">IF($A52="","",$U52+$X52)</f>
        <v/>
      </c>
      <c r="Z52" s="33" t="str">
        <f aca="false">IF($A52="","",$D52-$U52)</f>
        <v/>
      </c>
      <c r="AA52" s="33" t="str">
        <f aca="false">IF($A52="","",$D52-$Y52)</f>
        <v/>
      </c>
      <c r="AB52" s="41" t="str">
        <f aca="false">IF(OR($A52="",$D52=0),"",$Z52/$D52)</f>
        <v/>
      </c>
      <c r="AC52" s="41" t="str">
        <f aca="false">IF(OR($A52="",$D52=0),"",$AA52/$D52)</f>
        <v/>
      </c>
      <c r="AD52" s="42" t="str">
        <f aca="false">IFERROR(IF($A52="","",$Z52/$V52),"")</f>
        <v/>
      </c>
    </row>
    <row r="53" customFormat="false" ht="18" hidden="false" customHeight="true" outlineLevel="0" collapsed="false">
      <c r="A53" s="30"/>
      <c r="B53" s="37" t="str">
        <f aca="false">IF($A53="","",IFERROR(INDEX('Fragrance Projects'!$C$5:$C$64,MATCH($A53,'Fragrance Projects'!$A$5:$A$64,0)),""))</f>
        <v/>
      </c>
      <c r="C53" s="37" t="str">
        <f aca="false">IF($A53="","",IFERROR(INDEX('Fragrance Projects'!$D$5:$D$64,MATCH($A53,'Fragrance Projects'!$A$5:$A$64,0)),""))</f>
        <v/>
      </c>
      <c r="D53" s="32"/>
      <c r="E53" s="33" t="str">
        <f aca="false">IF($A53="","",IFERROR(INDEX(Payments!$G$5:$G$64,MATCH($A53,Payments!$B$5:$B$64,0)),0)+IFERROR(INDEX(Payments!$K$5:$K$64,MATCH($A53,Payments!$B$5:$B$64,0)),0))</f>
        <v/>
      </c>
      <c r="F53" s="33" t="str">
        <f aca="false">IF($A53="","",$D53-$E53)</f>
        <v/>
      </c>
      <c r="G53" s="33" t="str">
        <f aca="false">IF($A53="","",SUMIFS('Expense Log'!$J$5:$J$154,'Expense Log'!$B$5:$B$154,$A53,'Expense Log'!$E$5:$E$154,"Raw Materials"))</f>
        <v/>
      </c>
      <c r="H53" s="33" t="str">
        <f aca="false">IF($A53="","",SUMIFS('Expense Log'!$J$5:$J$154,'Expense Log'!$B$5:$B$154,$A53,'Expense Log'!$E$5:$E$154,"Alcohol/Carrier"))</f>
        <v/>
      </c>
      <c r="I53" s="33" t="str">
        <f aca="false">IF($A53="","",SUMIFS('Expense Log'!$J$5:$J$154,'Expense Log'!$B$5:$B$154,$A53,'Expense Log'!$E$5:$E$154,"Bottles")+SUMIFS('Expense Log'!$J$5:$J$154,'Expense Log'!$B$5:$B$154,$A53,'Expense Log'!$E$5:$E$154,"Sample Vials"))</f>
        <v/>
      </c>
      <c r="J53" s="33" t="str">
        <f aca="false">IF($A53="","",SUMIFS('Expense Log'!$J$5:$J$154,'Expense Log'!$B$5:$B$154,$A53,'Expense Log'!$E$5:$E$154,"Packaging"))</f>
        <v/>
      </c>
      <c r="K53" s="33" t="str">
        <f aca="false">IF($A53="","",SUMIFS('Expense Log'!$J$5:$J$154,'Expense Log'!$B$5:$B$154,$A53,'Expense Log'!$E$5:$E$154,"Labels"))</f>
        <v/>
      </c>
      <c r="L53" s="33" t="str">
        <f aca="false">IF($A53="","",SUMIFS('Expense Log'!$J$5:$J$154,'Expense Log'!$B$5:$B$154,$A53,'Expense Log'!$E$5:$E$154,"Shipping"))</f>
        <v/>
      </c>
      <c r="M53" s="33" t="str">
        <f aca="false">IF($A53="","",SUMIFS('Expense Log'!$J$5:$J$154,'Expense Log'!$B$5:$B$154,$A53,'Expense Log'!$E$5:$E$154,"Documentation"))</f>
        <v/>
      </c>
      <c r="N53" s="33" t="str">
        <f aca="false">IF($A53="","",SUMIFS('Expense Log'!$J$5:$J$154,'Expense Log'!$B$5:$B$154,$A53,'Expense Log'!$E$5:$E$154,"SDS"))</f>
        <v/>
      </c>
      <c r="O53" s="33" t="str">
        <f aca="false">IF($A53="","",SUMIFS('Expense Log'!$J$5:$J$154,'Expense Log'!$B$5:$B$154,$A53,'Expense Log'!$E$5:$E$154,"IFRA/Allergen"))</f>
        <v/>
      </c>
      <c r="P53" s="33" t="str">
        <f aca="false">IF($A53="","",SUMIFS('Expense Log'!$J$5:$J$154,'Expense Log'!$B$5:$B$154,$A53,'Expense Log'!$E$5:$E$154,"CPSR"))</f>
        <v/>
      </c>
      <c r="Q53" s="33" t="str">
        <f aca="false">IF($A53="","",SUMIFS('Expense Log'!$J$5:$J$154,'Expense Log'!$B$5:$B$154,$A53,'Expense Log'!$E$5:$E$154,"Compounding"))</f>
        <v/>
      </c>
      <c r="R53" s="33" t="str">
        <f aca="false">IF($A53="","",SUMIFS('Expense Log'!$J$5:$J$154,'Expense Log'!$B$5:$B$154,$A53,'Expense Log'!$E$5:$E$154,"External Perfumer"))</f>
        <v/>
      </c>
      <c r="S53" s="33" t="str">
        <f aca="false">IF($A53="","",SUMIFS('Expense Log'!$J$5:$J$154,'Expense Log'!$B$5:$B$154,$A53,'Expense Log'!$E$5:$E$154,"Payment Fees"))</f>
        <v/>
      </c>
      <c r="T53" s="33" t="str">
        <f aca="false">IF($A53="","",SUMIFS('Expense Log'!$J$5:$J$154,'Expense Log'!$B$5:$B$154,$A53,'Expense Log'!$E$5:$E$154,"Testing")+SUMIFS('Expense Log'!$J$5:$J$154,'Expense Log'!$B$5:$B$154,$A53,'Expense Log'!$E$5:$E$154,"Software")+SUMIFS('Expense Log'!$J$5:$J$154,'Expense Log'!$B$5:$B$154,$A53,'Expense Log'!$E$5:$E$154,"Other"))</f>
        <v/>
      </c>
      <c r="U53" s="33" t="str">
        <f aca="false">IF($A53="","",SUM($G53:$T53))</f>
        <v/>
      </c>
      <c r="V53" s="39" t="str">
        <f aca="false">IF($A53="","",SUMIFS('Iteration Tracker'!$T$5:$T$124,'Iteration Tracker'!$A$5:$A$124,$A53))</f>
        <v/>
      </c>
      <c r="W53" s="40"/>
      <c r="X53" s="33" t="str">
        <f aca="false">IF($A53="","",$V53*$W53)</f>
        <v/>
      </c>
      <c r="Y53" s="33" t="str">
        <f aca="false">IF($A53="","",$U53+$X53)</f>
        <v/>
      </c>
      <c r="Z53" s="33" t="str">
        <f aca="false">IF($A53="","",$D53-$U53)</f>
        <v/>
      </c>
      <c r="AA53" s="33" t="str">
        <f aca="false">IF($A53="","",$D53-$Y53)</f>
        <v/>
      </c>
      <c r="AB53" s="41" t="str">
        <f aca="false">IF(OR($A53="",$D53=0),"",$Z53/$D53)</f>
        <v/>
      </c>
      <c r="AC53" s="41" t="str">
        <f aca="false">IF(OR($A53="",$D53=0),"",$AA53/$D53)</f>
        <v/>
      </c>
      <c r="AD53" s="42" t="str">
        <f aca="false">IFERROR(IF($A53="","",$Z53/$V53),"")</f>
        <v/>
      </c>
    </row>
    <row r="54" customFormat="false" ht="18" hidden="false" customHeight="true" outlineLevel="0" collapsed="false">
      <c r="A54" s="30"/>
      <c r="B54" s="37" t="str">
        <f aca="false">IF($A54="","",IFERROR(INDEX('Fragrance Projects'!$C$5:$C$64,MATCH($A54,'Fragrance Projects'!$A$5:$A$64,0)),""))</f>
        <v/>
      </c>
      <c r="C54" s="37" t="str">
        <f aca="false">IF($A54="","",IFERROR(INDEX('Fragrance Projects'!$D$5:$D$64,MATCH($A54,'Fragrance Projects'!$A$5:$A$64,0)),""))</f>
        <v/>
      </c>
      <c r="D54" s="32"/>
      <c r="E54" s="33" t="str">
        <f aca="false">IF($A54="","",IFERROR(INDEX(Payments!$G$5:$G$64,MATCH($A54,Payments!$B$5:$B$64,0)),0)+IFERROR(INDEX(Payments!$K$5:$K$64,MATCH($A54,Payments!$B$5:$B$64,0)),0))</f>
        <v/>
      </c>
      <c r="F54" s="33" t="str">
        <f aca="false">IF($A54="","",$D54-$E54)</f>
        <v/>
      </c>
      <c r="G54" s="33" t="str">
        <f aca="false">IF($A54="","",SUMIFS('Expense Log'!$J$5:$J$154,'Expense Log'!$B$5:$B$154,$A54,'Expense Log'!$E$5:$E$154,"Raw Materials"))</f>
        <v/>
      </c>
      <c r="H54" s="33" t="str">
        <f aca="false">IF($A54="","",SUMIFS('Expense Log'!$J$5:$J$154,'Expense Log'!$B$5:$B$154,$A54,'Expense Log'!$E$5:$E$154,"Alcohol/Carrier"))</f>
        <v/>
      </c>
      <c r="I54" s="33" t="str">
        <f aca="false">IF($A54="","",SUMIFS('Expense Log'!$J$5:$J$154,'Expense Log'!$B$5:$B$154,$A54,'Expense Log'!$E$5:$E$154,"Bottles")+SUMIFS('Expense Log'!$J$5:$J$154,'Expense Log'!$B$5:$B$154,$A54,'Expense Log'!$E$5:$E$154,"Sample Vials"))</f>
        <v/>
      </c>
      <c r="J54" s="33" t="str">
        <f aca="false">IF($A54="","",SUMIFS('Expense Log'!$J$5:$J$154,'Expense Log'!$B$5:$B$154,$A54,'Expense Log'!$E$5:$E$154,"Packaging"))</f>
        <v/>
      </c>
      <c r="K54" s="33" t="str">
        <f aca="false">IF($A54="","",SUMIFS('Expense Log'!$J$5:$J$154,'Expense Log'!$B$5:$B$154,$A54,'Expense Log'!$E$5:$E$154,"Labels"))</f>
        <v/>
      </c>
      <c r="L54" s="33" t="str">
        <f aca="false">IF($A54="","",SUMIFS('Expense Log'!$J$5:$J$154,'Expense Log'!$B$5:$B$154,$A54,'Expense Log'!$E$5:$E$154,"Shipping"))</f>
        <v/>
      </c>
      <c r="M54" s="33" t="str">
        <f aca="false">IF($A54="","",SUMIFS('Expense Log'!$J$5:$J$154,'Expense Log'!$B$5:$B$154,$A54,'Expense Log'!$E$5:$E$154,"Documentation"))</f>
        <v/>
      </c>
      <c r="N54" s="33" t="str">
        <f aca="false">IF($A54="","",SUMIFS('Expense Log'!$J$5:$J$154,'Expense Log'!$B$5:$B$154,$A54,'Expense Log'!$E$5:$E$154,"SDS"))</f>
        <v/>
      </c>
      <c r="O54" s="33" t="str">
        <f aca="false">IF($A54="","",SUMIFS('Expense Log'!$J$5:$J$154,'Expense Log'!$B$5:$B$154,$A54,'Expense Log'!$E$5:$E$154,"IFRA/Allergen"))</f>
        <v/>
      </c>
      <c r="P54" s="33" t="str">
        <f aca="false">IF($A54="","",SUMIFS('Expense Log'!$J$5:$J$154,'Expense Log'!$B$5:$B$154,$A54,'Expense Log'!$E$5:$E$154,"CPSR"))</f>
        <v/>
      </c>
      <c r="Q54" s="33" t="str">
        <f aca="false">IF($A54="","",SUMIFS('Expense Log'!$J$5:$J$154,'Expense Log'!$B$5:$B$154,$A54,'Expense Log'!$E$5:$E$154,"Compounding"))</f>
        <v/>
      </c>
      <c r="R54" s="33" t="str">
        <f aca="false">IF($A54="","",SUMIFS('Expense Log'!$J$5:$J$154,'Expense Log'!$B$5:$B$154,$A54,'Expense Log'!$E$5:$E$154,"External Perfumer"))</f>
        <v/>
      </c>
      <c r="S54" s="33" t="str">
        <f aca="false">IF($A54="","",SUMIFS('Expense Log'!$J$5:$J$154,'Expense Log'!$B$5:$B$154,$A54,'Expense Log'!$E$5:$E$154,"Payment Fees"))</f>
        <v/>
      </c>
      <c r="T54" s="33" t="str">
        <f aca="false">IF($A54="","",SUMIFS('Expense Log'!$J$5:$J$154,'Expense Log'!$B$5:$B$154,$A54,'Expense Log'!$E$5:$E$154,"Testing")+SUMIFS('Expense Log'!$J$5:$J$154,'Expense Log'!$B$5:$B$154,$A54,'Expense Log'!$E$5:$E$154,"Software")+SUMIFS('Expense Log'!$J$5:$J$154,'Expense Log'!$B$5:$B$154,$A54,'Expense Log'!$E$5:$E$154,"Other"))</f>
        <v/>
      </c>
      <c r="U54" s="33" t="str">
        <f aca="false">IF($A54="","",SUM($G54:$T54))</f>
        <v/>
      </c>
      <c r="V54" s="39" t="str">
        <f aca="false">IF($A54="","",SUMIFS('Iteration Tracker'!$T$5:$T$124,'Iteration Tracker'!$A$5:$A$124,$A54))</f>
        <v/>
      </c>
      <c r="W54" s="40"/>
      <c r="X54" s="33" t="str">
        <f aca="false">IF($A54="","",$V54*$W54)</f>
        <v/>
      </c>
      <c r="Y54" s="33" t="str">
        <f aca="false">IF($A54="","",$U54+$X54)</f>
        <v/>
      </c>
      <c r="Z54" s="33" t="str">
        <f aca="false">IF($A54="","",$D54-$U54)</f>
        <v/>
      </c>
      <c r="AA54" s="33" t="str">
        <f aca="false">IF($A54="","",$D54-$Y54)</f>
        <v/>
      </c>
      <c r="AB54" s="41" t="str">
        <f aca="false">IF(OR($A54="",$D54=0),"",$Z54/$D54)</f>
        <v/>
      </c>
      <c r="AC54" s="41" t="str">
        <f aca="false">IF(OR($A54="",$D54=0),"",$AA54/$D54)</f>
        <v/>
      </c>
      <c r="AD54" s="42" t="str">
        <f aca="false">IFERROR(IF($A54="","",$Z54/$V54),"")</f>
        <v/>
      </c>
    </row>
    <row r="55" customFormat="false" ht="18" hidden="false" customHeight="true" outlineLevel="0" collapsed="false">
      <c r="A55" s="30"/>
      <c r="B55" s="37" t="str">
        <f aca="false">IF($A55="","",IFERROR(INDEX('Fragrance Projects'!$C$5:$C$64,MATCH($A55,'Fragrance Projects'!$A$5:$A$64,0)),""))</f>
        <v/>
      </c>
      <c r="C55" s="37" t="str">
        <f aca="false">IF($A55="","",IFERROR(INDEX('Fragrance Projects'!$D$5:$D$64,MATCH($A55,'Fragrance Projects'!$A$5:$A$64,0)),""))</f>
        <v/>
      </c>
      <c r="D55" s="32"/>
      <c r="E55" s="33" t="str">
        <f aca="false">IF($A55="","",IFERROR(INDEX(Payments!$G$5:$G$64,MATCH($A55,Payments!$B$5:$B$64,0)),0)+IFERROR(INDEX(Payments!$K$5:$K$64,MATCH($A55,Payments!$B$5:$B$64,0)),0))</f>
        <v/>
      </c>
      <c r="F55" s="33" t="str">
        <f aca="false">IF($A55="","",$D55-$E55)</f>
        <v/>
      </c>
      <c r="G55" s="33" t="str">
        <f aca="false">IF($A55="","",SUMIFS('Expense Log'!$J$5:$J$154,'Expense Log'!$B$5:$B$154,$A55,'Expense Log'!$E$5:$E$154,"Raw Materials"))</f>
        <v/>
      </c>
      <c r="H55" s="33" t="str">
        <f aca="false">IF($A55="","",SUMIFS('Expense Log'!$J$5:$J$154,'Expense Log'!$B$5:$B$154,$A55,'Expense Log'!$E$5:$E$154,"Alcohol/Carrier"))</f>
        <v/>
      </c>
      <c r="I55" s="33" t="str">
        <f aca="false">IF($A55="","",SUMIFS('Expense Log'!$J$5:$J$154,'Expense Log'!$B$5:$B$154,$A55,'Expense Log'!$E$5:$E$154,"Bottles")+SUMIFS('Expense Log'!$J$5:$J$154,'Expense Log'!$B$5:$B$154,$A55,'Expense Log'!$E$5:$E$154,"Sample Vials"))</f>
        <v/>
      </c>
      <c r="J55" s="33" t="str">
        <f aca="false">IF($A55="","",SUMIFS('Expense Log'!$J$5:$J$154,'Expense Log'!$B$5:$B$154,$A55,'Expense Log'!$E$5:$E$154,"Packaging"))</f>
        <v/>
      </c>
      <c r="K55" s="33" t="str">
        <f aca="false">IF($A55="","",SUMIFS('Expense Log'!$J$5:$J$154,'Expense Log'!$B$5:$B$154,$A55,'Expense Log'!$E$5:$E$154,"Labels"))</f>
        <v/>
      </c>
      <c r="L55" s="33" t="str">
        <f aca="false">IF($A55="","",SUMIFS('Expense Log'!$J$5:$J$154,'Expense Log'!$B$5:$B$154,$A55,'Expense Log'!$E$5:$E$154,"Shipping"))</f>
        <v/>
      </c>
      <c r="M55" s="33" t="str">
        <f aca="false">IF($A55="","",SUMIFS('Expense Log'!$J$5:$J$154,'Expense Log'!$B$5:$B$154,$A55,'Expense Log'!$E$5:$E$154,"Documentation"))</f>
        <v/>
      </c>
      <c r="N55" s="33" t="str">
        <f aca="false">IF($A55="","",SUMIFS('Expense Log'!$J$5:$J$154,'Expense Log'!$B$5:$B$154,$A55,'Expense Log'!$E$5:$E$154,"SDS"))</f>
        <v/>
      </c>
      <c r="O55" s="33" t="str">
        <f aca="false">IF($A55="","",SUMIFS('Expense Log'!$J$5:$J$154,'Expense Log'!$B$5:$B$154,$A55,'Expense Log'!$E$5:$E$154,"IFRA/Allergen"))</f>
        <v/>
      </c>
      <c r="P55" s="33" t="str">
        <f aca="false">IF($A55="","",SUMIFS('Expense Log'!$J$5:$J$154,'Expense Log'!$B$5:$B$154,$A55,'Expense Log'!$E$5:$E$154,"CPSR"))</f>
        <v/>
      </c>
      <c r="Q55" s="33" t="str">
        <f aca="false">IF($A55="","",SUMIFS('Expense Log'!$J$5:$J$154,'Expense Log'!$B$5:$B$154,$A55,'Expense Log'!$E$5:$E$154,"Compounding"))</f>
        <v/>
      </c>
      <c r="R55" s="33" t="str">
        <f aca="false">IF($A55="","",SUMIFS('Expense Log'!$J$5:$J$154,'Expense Log'!$B$5:$B$154,$A55,'Expense Log'!$E$5:$E$154,"External Perfumer"))</f>
        <v/>
      </c>
      <c r="S55" s="33" t="str">
        <f aca="false">IF($A55="","",SUMIFS('Expense Log'!$J$5:$J$154,'Expense Log'!$B$5:$B$154,$A55,'Expense Log'!$E$5:$E$154,"Payment Fees"))</f>
        <v/>
      </c>
      <c r="T55" s="33" t="str">
        <f aca="false">IF($A55="","",SUMIFS('Expense Log'!$J$5:$J$154,'Expense Log'!$B$5:$B$154,$A55,'Expense Log'!$E$5:$E$154,"Testing")+SUMIFS('Expense Log'!$J$5:$J$154,'Expense Log'!$B$5:$B$154,$A55,'Expense Log'!$E$5:$E$154,"Software")+SUMIFS('Expense Log'!$J$5:$J$154,'Expense Log'!$B$5:$B$154,$A55,'Expense Log'!$E$5:$E$154,"Other"))</f>
        <v/>
      </c>
      <c r="U55" s="33" t="str">
        <f aca="false">IF($A55="","",SUM($G55:$T55))</f>
        <v/>
      </c>
      <c r="V55" s="39" t="str">
        <f aca="false">IF($A55="","",SUMIFS('Iteration Tracker'!$T$5:$T$124,'Iteration Tracker'!$A$5:$A$124,$A55))</f>
        <v/>
      </c>
      <c r="W55" s="40"/>
      <c r="X55" s="33" t="str">
        <f aca="false">IF($A55="","",$V55*$W55)</f>
        <v/>
      </c>
      <c r="Y55" s="33" t="str">
        <f aca="false">IF($A55="","",$U55+$X55)</f>
        <v/>
      </c>
      <c r="Z55" s="33" t="str">
        <f aca="false">IF($A55="","",$D55-$U55)</f>
        <v/>
      </c>
      <c r="AA55" s="33" t="str">
        <f aca="false">IF($A55="","",$D55-$Y55)</f>
        <v/>
      </c>
      <c r="AB55" s="41" t="str">
        <f aca="false">IF(OR($A55="",$D55=0),"",$Z55/$D55)</f>
        <v/>
      </c>
      <c r="AC55" s="41" t="str">
        <f aca="false">IF(OR($A55="",$D55=0),"",$AA55/$D55)</f>
        <v/>
      </c>
      <c r="AD55" s="42" t="str">
        <f aca="false">IFERROR(IF($A55="","",$Z55/$V55),"")</f>
        <v/>
      </c>
    </row>
    <row r="56" customFormat="false" ht="18" hidden="false" customHeight="true" outlineLevel="0" collapsed="false">
      <c r="A56" s="30"/>
      <c r="B56" s="37" t="str">
        <f aca="false">IF($A56="","",IFERROR(INDEX('Fragrance Projects'!$C$5:$C$64,MATCH($A56,'Fragrance Projects'!$A$5:$A$64,0)),""))</f>
        <v/>
      </c>
      <c r="C56" s="37" t="str">
        <f aca="false">IF($A56="","",IFERROR(INDEX('Fragrance Projects'!$D$5:$D$64,MATCH($A56,'Fragrance Projects'!$A$5:$A$64,0)),""))</f>
        <v/>
      </c>
      <c r="D56" s="32"/>
      <c r="E56" s="33" t="str">
        <f aca="false">IF($A56="","",IFERROR(INDEX(Payments!$G$5:$G$64,MATCH($A56,Payments!$B$5:$B$64,0)),0)+IFERROR(INDEX(Payments!$K$5:$K$64,MATCH($A56,Payments!$B$5:$B$64,0)),0))</f>
        <v/>
      </c>
      <c r="F56" s="33" t="str">
        <f aca="false">IF($A56="","",$D56-$E56)</f>
        <v/>
      </c>
      <c r="G56" s="33" t="str">
        <f aca="false">IF($A56="","",SUMIFS('Expense Log'!$J$5:$J$154,'Expense Log'!$B$5:$B$154,$A56,'Expense Log'!$E$5:$E$154,"Raw Materials"))</f>
        <v/>
      </c>
      <c r="H56" s="33" t="str">
        <f aca="false">IF($A56="","",SUMIFS('Expense Log'!$J$5:$J$154,'Expense Log'!$B$5:$B$154,$A56,'Expense Log'!$E$5:$E$154,"Alcohol/Carrier"))</f>
        <v/>
      </c>
      <c r="I56" s="33" t="str">
        <f aca="false">IF($A56="","",SUMIFS('Expense Log'!$J$5:$J$154,'Expense Log'!$B$5:$B$154,$A56,'Expense Log'!$E$5:$E$154,"Bottles")+SUMIFS('Expense Log'!$J$5:$J$154,'Expense Log'!$B$5:$B$154,$A56,'Expense Log'!$E$5:$E$154,"Sample Vials"))</f>
        <v/>
      </c>
      <c r="J56" s="33" t="str">
        <f aca="false">IF($A56="","",SUMIFS('Expense Log'!$J$5:$J$154,'Expense Log'!$B$5:$B$154,$A56,'Expense Log'!$E$5:$E$154,"Packaging"))</f>
        <v/>
      </c>
      <c r="K56" s="33" t="str">
        <f aca="false">IF($A56="","",SUMIFS('Expense Log'!$J$5:$J$154,'Expense Log'!$B$5:$B$154,$A56,'Expense Log'!$E$5:$E$154,"Labels"))</f>
        <v/>
      </c>
      <c r="L56" s="33" t="str">
        <f aca="false">IF($A56="","",SUMIFS('Expense Log'!$J$5:$J$154,'Expense Log'!$B$5:$B$154,$A56,'Expense Log'!$E$5:$E$154,"Shipping"))</f>
        <v/>
      </c>
      <c r="M56" s="33" t="str">
        <f aca="false">IF($A56="","",SUMIFS('Expense Log'!$J$5:$J$154,'Expense Log'!$B$5:$B$154,$A56,'Expense Log'!$E$5:$E$154,"Documentation"))</f>
        <v/>
      </c>
      <c r="N56" s="33" t="str">
        <f aca="false">IF($A56="","",SUMIFS('Expense Log'!$J$5:$J$154,'Expense Log'!$B$5:$B$154,$A56,'Expense Log'!$E$5:$E$154,"SDS"))</f>
        <v/>
      </c>
      <c r="O56" s="33" t="str">
        <f aca="false">IF($A56="","",SUMIFS('Expense Log'!$J$5:$J$154,'Expense Log'!$B$5:$B$154,$A56,'Expense Log'!$E$5:$E$154,"IFRA/Allergen"))</f>
        <v/>
      </c>
      <c r="P56" s="33" t="str">
        <f aca="false">IF($A56="","",SUMIFS('Expense Log'!$J$5:$J$154,'Expense Log'!$B$5:$B$154,$A56,'Expense Log'!$E$5:$E$154,"CPSR"))</f>
        <v/>
      </c>
      <c r="Q56" s="33" t="str">
        <f aca="false">IF($A56="","",SUMIFS('Expense Log'!$J$5:$J$154,'Expense Log'!$B$5:$B$154,$A56,'Expense Log'!$E$5:$E$154,"Compounding"))</f>
        <v/>
      </c>
      <c r="R56" s="33" t="str">
        <f aca="false">IF($A56="","",SUMIFS('Expense Log'!$J$5:$J$154,'Expense Log'!$B$5:$B$154,$A56,'Expense Log'!$E$5:$E$154,"External Perfumer"))</f>
        <v/>
      </c>
      <c r="S56" s="33" t="str">
        <f aca="false">IF($A56="","",SUMIFS('Expense Log'!$J$5:$J$154,'Expense Log'!$B$5:$B$154,$A56,'Expense Log'!$E$5:$E$154,"Payment Fees"))</f>
        <v/>
      </c>
      <c r="T56" s="33" t="str">
        <f aca="false">IF($A56="","",SUMIFS('Expense Log'!$J$5:$J$154,'Expense Log'!$B$5:$B$154,$A56,'Expense Log'!$E$5:$E$154,"Testing")+SUMIFS('Expense Log'!$J$5:$J$154,'Expense Log'!$B$5:$B$154,$A56,'Expense Log'!$E$5:$E$154,"Software")+SUMIFS('Expense Log'!$J$5:$J$154,'Expense Log'!$B$5:$B$154,$A56,'Expense Log'!$E$5:$E$154,"Other"))</f>
        <v/>
      </c>
      <c r="U56" s="33" t="str">
        <f aca="false">IF($A56="","",SUM($G56:$T56))</f>
        <v/>
      </c>
      <c r="V56" s="39" t="str">
        <f aca="false">IF($A56="","",SUMIFS('Iteration Tracker'!$T$5:$T$124,'Iteration Tracker'!$A$5:$A$124,$A56))</f>
        <v/>
      </c>
      <c r="W56" s="40"/>
      <c r="X56" s="33" t="str">
        <f aca="false">IF($A56="","",$V56*$W56)</f>
        <v/>
      </c>
      <c r="Y56" s="33" t="str">
        <f aca="false">IF($A56="","",$U56+$X56)</f>
        <v/>
      </c>
      <c r="Z56" s="33" t="str">
        <f aca="false">IF($A56="","",$D56-$U56)</f>
        <v/>
      </c>
      <c r="AA56" s="33" t="str">
        <f aca="false">IF($A56="","",$D56-$Y56)</f>
        <v/>
      </c>
      <c r="AB56" s="41" t="str">
        <f aca="false">IF(OR($A56="",$D56=0),"",$Z56/$D56)</f>
        <v/>
      </c>
      <c r="AC56" s="41" t="str">
        <f aca="false">IF(OR($A56="",$D56=0),"",$AA56/$D56)</f>
        <v/>
      </c>
      <c r="AD56" s="42" t="str">
        <f aca="false">IFERROR(IF($A56="","",$Z56/$V56),"")</f>
        <v/>
      </c>
    </row>
    <row r="57" customFormat="false" ht="18" hidden="false" customHeight="true" outlineLevel="0" collapsed="false">
      <c r="A57" s="30"/>
      <c r="B57" s="37" t="str">
        <f aca="false">IF($A57="","",IFERROR(INDEX('Fragrance Projects'!$C$5:$C$64,MATCH($A57,'Fragrance Projects'!$A$5:$A$64,0)),""))</f>
        <v/>
      </c>
      <c r="C57" s="37" t="str">
        <f aca="false">IF($A57="","",IFERROR(INDEX('Fragrance Projects'!$D$5:$D$64,MATCH($A57,'Fragrance Projects'!$A$5:$A$64,0)),""))</f>
        <v/>
      </c>
      <c r="D57" s="32"/>
      <c r="E57" s="33" t="str">
        <f aca="false">IF($A57="","",IFERROR(INDEX(Payments!$G$5:$G$64,MATCH($A57,Payments!$B$5:$B$64,0)),0)+IFERROR(INDEX(Payments!$K$5:$K$64,MATCH($A57,Payments!$B$5:$B$64,0)),0))</f>
        <v/>
      </c>
      <c r="F57" s="33" t="str">
        <f aca="false">IF($A57="","",$D57-$E57)</f>
        <v/>
      </c>
      <c r="G57" s="33" t="str">
        <f aca="false">IF($A57="","",SUMIFS('Expense Log'!$J$5:$J$154,'Expense Log'!$B$5:$B$154,$A57,'Expense Log'!$E$5:$E$154,"Raw Materials"))</f>
        <v/>
      </c>
      <c r="H57" s="33" t="str">
        <f aca="false">IF($A57="","",SUMIFS('Expense Log'!$J$5:$J$154,'Expense Log'!$B$5:$B$154,$A57,'Expense Log'!$E$5:$E$154,"Alcohol/Carrier"))</f>
        <v/>
      </c>
      <c r="I57" s="33" t="str">
        <f aca="false">IF($A57="","",SUMIFS('Expense Log'!$J$5:$J$154,'Expense Log'!$B$5:$B$154,$A57,'Expense Log'!$E$5:$E$154,"Bottles")+SUMIFS('Expense Log'!$J$5:$J$154,'Expense Log'!$B$5:$B$154,$A57,'Expense Log'!$E$5:$E$154,"Sample Vials"))</f>
        <v/>
      </c>
      <c r="J57" s="33" t="str">
        <f aca="false">IF($A57="","",SUMIFS('Expense Log'!$J$5:$J$154,'Expense Log'!$B$5:$B$154,$A57,'Expense Log'!$E$5:$E$154,"Packaging"))</f>
        <v/>
      </c>
      <c r="K57" s="33" t="str">
        <f aca="false">IF($A57="","",SUMIFS('Expense Log'!$J$5:$J$154,'Expense Log'!$B$5:$B$154,$A57,'Expense Log'!$E$5:$E$154,"Labels"))</f>
        <v/>
      </c>
      <c r="L57" s="33" t="str">
        <f aca="false">IF($A57="","",SUMIFS('Expense Log'!$J$5:$J$154,'Expense Log'!$B$5:$B$154,$A57,'Expense Log'!$E$5:$E$154,"Shipping"))</f>
        <v/>
      </c>
      <c r="M57" s="33" t="str">
        <f aca="false">IF($A57="","",SUMIFS('Expense Log'!$J$5:$J$154,'Expense Log'!$B$5:$B$154,$A57,'Expense Log'!$E$5:$E$154,"Documentation"))</f>
        <v/>
      </c>
      <c r="N57" s="33" t="str">
        <f aca="false">IF($A57="","",SUMIFS('Expense Log'!$J$5:$J$154,'Expense Log'!$B$5:$B$154,$A57,'Expense Log'!$E$5:$E$154,"SDS"))</f>
        <v/>
      </c>
      <c r="O57" s="33" t="str">
        <f aca="false">IF($A57="","",SUMIFS('Expense Log'!$J$5:$J$154,'Expense Log'!$B$5:$B$154,$A57,'Expense Log'!$E$5:$E$154,"IFRA/Allergen"))</f>
        <v/>
      </c>
      <c r="P57" s="33" t="str">
        <f aca="false">IF($A57="","",SUMIFS('Expense Log'!$J$5:$J$154,'Expense Log'!$B$5:$B$154,$A57,'Expense Log'!$E$5:$E$154,"CPSR"))</f>
        <v/>
      </c>
      <c r="Q57" s="33" t="str">
        <f aca="false">IF($A57="","",SUMIFS('Expense Log'!$J$5:$J$154,'Expense Log'!$B$5:$B$154,$A57,'Expense Log'!$E$5:$E$154,"Compounding"))</f>
        <v/>
      </c>
      <c r="R57" s="33" t="str">
        <f aca="false">IF($A57="","",SUMIFS('Expense Log'!$J$5:$J$154,'Expense Log'!$B$5:$B$154,$A57,'Expense Log'!$E$5:$E$154,"External Perfumer"))</f>
        <v/>
      </c>
      <c r="S57" s="33" t="str">
        <f aca="false">IF($A57="","",SUMIFS('Expense Log'!$J$5:$J$154,'Expense Log'!$B$5:$B$154,$A57,'Expense Log'!$E$5:$E$154,"Payment Fees"))</f>
        <v/>
      </c>
      <c r="T57" s="33" t="str">
        <f aca="false">IF($A57="","",SUMIFS('Expense Log'!$J$5:$J$154,'Expense Log'!$B$5:$B$154,$A57,'Expense Log'!$E$5:$E$154,"Testing")+SUMIFS('Expense Log'!$J$5:$J$154,'Expense Log'!$B$5:$B$154,$A57,'Expense Log'!$E$5:$E$154,"Software")+SUMIFS('Expense Log'!$J$5:$J$154,'Expense Log'!$B$5:$B$154,$A57,'Expense Log'!$E$5:$E$154,"Other"))</f>
        <v/>
      </c>
      <c r="U57" s="33" t="str">
        <f aca="false">IF($A57="","",SUM($G57:$T57))</f>
        <v/>
      </c>
      <c r="V57" s="39" t="str">
        <f aca="false">IF($A57="","",SUMIFS('Iteration Tracker'!$T$5:$T$124,'Iteration Tracker'!$A$5:$A$124,$A57))</f>
        <v/>
      </c>
      <c r="W57" s="40"/>
      <c r="X57" s="33" t="str">
        <f aca="false">IF($A57="","",$V57*$W57)</f>
        <v/>
      </c>
      <c r="Y57" s="33" t="str">
        <f aca="false">IF($A57="","",$U57+$X57)</f>
        <v/>
      </c>
      <c r="Z57" s="33" t="str">
        <f aca="false">IF($A57="","",$D57-$U57)</f>
        <v/>
      </c>
      <c r="AA57" s="33" t="str">
        <f aca="false">IF($A57="","",$D57-$Y57)</f>
        <v/>
      </c>
      <c r="AB57" s="41" t="str">
        <f aca="false">IF(OR($A57="",$D57=0),"",$Z57/$D57)</f>
        <v/>
      </c>
      <c r="AC57" s="41" t="str">
        <f aca="false">IF(OR($A57="",$D57=0),"",$AA57/$D57)</f>
        <v/>
      </c>
      <c r="AD57" s="42" t="str">
        <f aca="false">IFERROR(IF($A57="","",$Z57/$V57),"")</f>
        <v/>
      </c>
    </row>
    <row r="58" customFormat="false" ht="18" hidden="false" customHeight="true" outlineLevel="0" collapsed="false">
      <c r="A58" s="30"/>
      <c r="B58" s="37" t="str">
        <f aca="false">IF($A58="","",IFERROR(INDEX('Fragrance Projects'!$C$5:$C$64,MATCH($A58,'Fragrance Projects'!$A$5:$A$64,0)),""))</f>
        <v/>
      </c>
      <c r="C58" s="37" t="str">
        <f aca="false">IF($A58="","",IFERROR(INDEX('Fragrance Projects'!$D$5:$D$64,MATCH($A58,'Fragrance Projects'!$A$5:$A$64,0)),""))</f>
        <v/>
      </c>
      <c r="D58" s="32"/>
      <c r="E58" s="33" t="str">
        <f aca="false">IF($A58="","",IFERROR(INDEX(Payments!$G$5:$G$64,MATCH($A58,Payments!$B$5:$B$64,0)),0)+IFERROR(INDEX(Payments!$K$5:$K$64,MATCH($A58,Payments!$B$5:$B$64,0)),0))</f>
        <v/>
      </c>
      <c r="F58" s="33" t="str">
        <f aca="false">IF($A58="","",$D58-$E58)</f>
        <v/>
      </c>
      <c r="G58" s="33" t="str">
        <f aca="false">IF($A58="","",SUMIFS('Expense Log'!$J$5:$J$154,'Expense Log'!$B$5:$B$154,$A58,'Expense Log'!$E$5:$E$154,"Raw Materials"))</f>
        <v/>
      </c>
      <c r="H58" s="33" t="str">
        <f aca="false">IF($A58="","",SUMIFS('Expense Log'!$J$5:$J$154,'Expense Log'!$B$5:$B$154,$A58,'Expense Log'!$E$5:$E$154,"Alcohol/Carrier"))</f>
        <v/>
      </c>
      <c r="I58" s="33" t="str">
        <f aca="false">IF($A58="","",SUMIFS('Expense Log'!$J$5:$J$154,'Expense Log'!$B$5:$B$154,$A58,'Expense Log'!$E$5:$E$154,"Bottles")+SUMIFS('Expense Log'!$J$5:$J$154,'Expense Log'!$B$5:$B$154,$A58,'Expense Log'!$E$5:$E$154,"Sample Vials"))</f>
        <v/>
      </c>
      <c r="J58" s="33" t="str">
        <f aca="false">IF($A58="","",SUMIFS('Expense Log'!$J$5:$J$154,'Expense Log'!$B$5:$B$154,$A58,'Expense Log'!$E$5:$E$154,"Packaging"))</f>
        <v/>
      </c>
      <c r="K58" s="33" t="str">
        <f aca="false">IF($A58="","",SUMIFS('Expense Log'!$J$5:$J$154,'Expense Log'!$B$5:$B$154,$A58,'Expense Log'!$E$5:$E$154,"Labels"))</f>
        <v/>
      </c>
      <c r="L58" s="33" t="str">
        <f aca="false">IF($A58="","",SUMIFS('Expense Log'!$J$5:$J$154,'Expense Log'!$B$5:$B$154,$A58,'Expense Log'!$E$5:$E$154,"Shipping"))</f>
        <v/>
      </c>
      <c r="M58" s="33" t="str">
        <f aca="false">IF($A58="","",SUMIFS('Expense Log'!$J$5:$J$154,'Expense Log'!$B$5:$B$154,$A58,'Expense Log'!$E$5:$E$154,"Documentation"))</f>
        <v/>
      </c>
      <c r="N58" s="33" t="str">
        <f aca="false">IF($A58="","",SUMIFS('Expense Log'!$J$5:$J$154,'Expense Log'!$B$5:$B$154,$A58,'Expense Log'!$E$5:$E$154,"SDS"))</f>
        <v/>
      </c>
      <c r="O58" s="33" t="str">
        <f aca="false">IF($A58="","",SUMIFS('Expense Log'!$J$5:$J$154,'Expense Log'!$B$5:$B$154,$A58,'Expense Log'!$E$5:$E$154,"IFRA/Allergen"))</f>
        <v/>
      </c>
      <c r="P58" s="33" t="str">
        <f aca="false">IF($A58="","",SUMIFS('Expense Log'!$J$5:$J$154,'Expense Log'!$B$5:$B$154,$A58,'Expense Log'!$E$5:$E$154,"CPSR"))</f>
        <v/>
      </c>
      <c r="Q58" s="33" t="str">
        <f aca="false">IF($A58="","",SUMIFS('Expense Log'!$J$5:$J$154,'Expense Log'!$B$5:$B$154,$A58,'Expense Log'!$E$5:$E$154,"Compounding"))</f>
        <v/>
      </c>
      <c r="R58" s="33" t="str">
        <f aca="false">IF($A58="","",SUMIFS('Expense Log'!$J$5:$J$154,'Expense Log'!$B$5:$B$154,$A58,'Expense Log'!$E$5:$E$154,"External Perfumer"))</f>
        <v/>
      </c>
      <c r="S58" s="33" t="str">
        <f aca="false">IF($A58="","",SUMIFS('Expense Log'!$J$5:$J$154,'Expense Log'!$B$5:$B$154,$A58,'Expense Log'!$E$5:$E$154,"Payment Fees"))</f>
        <v/>
      </c>
      <c r="T58" s="33" t="str">
        <f aca="false">IF($A58="","",SUMIFS('Expense Log'!$J$5:$J$154,'Expense Log'!$B$5:$B$154,$A58,'Expense Log'!$E$5:$E$154,"Testing")+SUMIFS('Expense Log'!$J$5:$J$154,'Expense Log'!$B$5:$B$154,$A58,'Expense Log'!$E$5:$E$154,"Software")+SUMIFS('Expense Log'!$J$5:$J$154,'Expense Log'!$B$5:$B$154,$A58,'Expense Log'!$E$5:$E$154,"Other"))</f>
        <v/>
      </c>
      <c r="U58" s="33" t="str">
        <f aca="false">IF($A58="","",SUM($G58:$T58))</f>
        <v/>
      </c>
      <c r="V58" s="39" t="str">
        <f aca="false">IF($A58="","",SUMIFS('Iteration Tracker'!$T$5:$T$124,'Iteration Tracker'!$A$5:$A$124,$A58))</f>
        <v/>
      </c>
      <c r="W58" s="40"/>
      <c r="X58" s="33" t="str">
        <f aca="false">IF($A58="","",$V58*$W58)</f>
        <v/>
      </c>
      <c r="Y58" s="33" t="str">
        <f aca="false">IF($A58="","",$U58+$X58)</f>
        <v/>
      </c>
      <c r="Z58" s="33" t="str">
        <f aca="false">IF($A58="","",$D58-$U58)</f>
        <v/>
      </c>
      <c r="AA58" s="33" t="str">
        <f aca="false">IF($A58="","",$D58-$Y58)</f>
        <v/>
      </c>
      <c r="AB58" s="41" t="str">
        <f aca="false">IF(OR($A58="",$D58=0),"",$Z58/$D58)</f>
        <v/>
      </c>
      <c r="AC58" s="41" t="str">
        <f aca="false">IF(OR($A58="",$D58=0),"",$AA58/$D58)</f>
        <v/>
      </c>
      <c r="AD58" s="42" t="str">
        <f aca="false">IFERROR(IF($A58="","",$Z58/$V58),"")</f>
        <v/>
      </c>
    </row>
    <row r="59" customFormat="false" ht="18" hidden="false" customHeight="true" outlineLevel="0" collapsed="false">
      <c r="A59" s="30"/>
      <c r="B59" s="37" t="str">
        <f aca="false">IF($A59="","",IFERROR(INDEX('Fragrance Projects'!$C$5:$C$64,MATCH($A59,'Fragrance Projects'!$A$5:$A$64,0)),""))</f>
        <v/>
      </c>
      <c r="C59" s="37" t="str">
        <f aca="false">IF($A59="","",IFERROR(INDEX('Fragrance Projects'!$D$5:$D$64,MATCH($A59,'Fragrance Projects'!$A$5:$A$64,0)),""))</f>
        <v/>
      </c>
      <c r="D59" s="32"/>
      <c r="E59" s="33" t="str">
        <f aca="false">IF($A59="","",IFERROR(INDEX(Payments!$G$5:$G$64,MATCH($A59,Payments!$B$5:$B$64,0)),0)+IFERROR(INDEX(Payments!$K$5:$K$64,MATCH($A59,Payments!$B$5:$B$64,0)),0))</f>
        <v/>
      </c>
      <c r="F59" s="33" t="str">
        <f aca="false">IF($A59="","",$D59-$E59)</f>
        <v/>
      </c>
      <c r="G59" s="33" t="str">
        <f aca="false">IF($A59="","",SUMIFS('Expense Log'!$J$5:$J$154,'Expense Log'!$B$5:$B$154,$A59,'Expense Log'!$E$5:$E$154,"Raw Materials"))</f>
        <v/>
      </c>
      <c r="H59" s="33" t="str">
        <f aca="false">IF($A59="","",SUMIFS('Expense Log'!$J$5:$J$154,'Expense Log'!$B$5:$B$154,$A59,'Expense Log'!$E$5:$E$154,"Alcohol/Carrier"))</f>
        <v/>
      </c>
      <c r="I59" s="33" t="str">
        <f aca="false">IF($A59="","",SUMIFS('Expense Log'!$J$5:$J$154,'Expense Log'!$B$5:$B$154,$A59,'Expense Log'!$E$5:$E$154,"Bottles")+SUMIFS('Expense Log'!$J$5:$J$154,'Expense Log'!$B$5:$B$154,$A59,'Expense Log'!$E$5:$E$154,"Sample Vials"))</f>
        <v/>
      </c>
      <c r="J59" s="33" t="str">
        <f aca="false">IF($A59="","",SUMIFS('Expense Log'!$J$5:$J$154,'Expense Log'!$B$5:$B$154,$A59,'Expense Log'!$E$5:$E$154,"Packaging"))</f>
        <v/>
      </c>
      <c r="K59" s="33" t="str">
        <f aca="false">IF($A59="","",SUMIFS('Expense Log'!$J$5:$J$154,'Expense Log'!$B$5:$B$154,$A59,'Expense Log'!$E$5:$E$154,"Labels"))</f>
        <v/>
      </c>
      <c r="L59" s="33" t="str">
        <f aca="false">IF($A59="","",SUMIFS('Expense Log'!$J$5:$J$154,'Expense Log'!$B$5:$B$154,$A59,'Expense Log'!$E$5:$E$154,"Shipping"))</f>
        <v/>
      </c>
      <c r="M59" s="33" t="str">
        <f aca="false">IF($A59="","",SUMIFS('Expense Log'!$J$5:$J$154,'Expense Log'!$B$5:$B$154,$A59,'Expense Log'!$E$5:$E$154,"Documentation"))</f>
        <v/>
      </c>
      <c r="N59" s="33" t="str">
        <f aca="false">IF($A59="","",SUMIFS('Expense Log'!$J$5:$J$154,'Expense Log'!$B$5:$B$154,$A59,'Expense Log'!$E$5:$E$154,"SDS"))</f>
        <v/>
      </c>
      <c r="O59" s="33" t="str">
        <f aca="false">IF($A59="","",SUMIFS('Expense Log'!$J$5:$J$154,'Expense Log'!$B$5:$B$154,$A59,'Expense Log'!$E$5:$E$154,"IFRA/Allergen"))</f>
        <v/>
      </c>
      <c r="P59" s="33" t="str">
        <f aca="false">IF($A59="","",SUMIFS('Expense Log'!$J$5:$J$154,'Expense Log'!$B$5:$B$154,$A59,'Expense Log'!$E$5:$E$154,"CPSR"))</f>
        <v/>
      </c>
      <c r="Q59" s="33" t="str">
        <f aca="false">IF($A59="","",SUMIFS('Expense Log'!$J$5:$J$154,'Expense Log'!$B$5:$B$154,$A59,'Expense Log'!$E$5:$E$154,"Compounding"))</f>
        <v/>
      </c>
      <c r="R59" s="33" t="str">
        <f aca="false">IF($A59="","",SUMIFS('Expense Log'!$J$5:$J$154,'Expense Log'!$B$5:$B$154,$A59,'Expense Log'!$E$5:$E$154,"External Perfumer"))</f>
        <v/>
      </c>
      <c r="S59" s="33" t="str">
        <f aca="false">IF($A59="","",SUMIFS('Expense Log'!$J$5:$J$154,'Expense Log'!$B$5:$B$154,$A59,'Expense Log'!$E$5:$E$154,"Payment Fees"))</f>
        <v/>
      </c>
      <c r="T59" s="33" t="str">
        <f aca="false">IF($A59="","",SUMIFS('Expense Log'!$J$5:$J$154,'Expense Log'!$B$5:$B$154,$A59,'Expense Log'!$E$5:$E$154,"Testing")+SUMIFS('Expense Log'!$J$5:$J$154,'Expense Log'!$B$5:$B$154,$A59,'Expense Log'!$E$5:$E$154,"Software")+SUMIFS('Expense Log'!$J$5:$J$154,'Expense Log'!$B$5:$B$154,$A59,'Expense Log'!$E$5:$E$154,"Other"))</f>
        <v/>
      </c>
      <c r="U59" s="33" t="str">
        <f aca="false">IF($A59="","",SUM($G59:$T59))</f>
        <v/>
      </c>
      <c r="V59" s="39" t="str">
        <f aca="false">IF($A59="","",SUMIFS('Iteration Tracker'!$T$5:$T$124,'Iteration Tracker'!$A$5:$A$124,$A59))</f>
        <v/>
      </c>
      <c r="W59" s="40"/>
      <c r="X59" s="33" t="str">
        <f aca="false">IF($A59="","",$V59*$W59)</f>
        <v/>
      </c>
      <c r="Y59" s="33" t="str">
        <f aca="false">IF($A59="","",$U59+$X59)</f>
        <v/>
      </c>
      <c r="Z59" s="33" t="str">
        <f aca="false">IF($A59="","",$D59-$U59)</f>
        <v/>
      </c>
      <c r="AA59" s="33" t="str">
        <f aca="false">IF($A59="","",$D59-$Y59)</f>
        <v/>
      </c>
      <c r="AB59" s="41" t="str">
        <f aca="false">IF(OR($A59="",$D59=0),"",$Z59/$D59)</f>
        <v/>
      </c>
      <c r="AC59" s="41" t="str">
        <f aca="false">IF(OR($A59="",$D59=0),"",$AA59/$D59)</f>
        <v/>
      </c>
      <c r="AD59" s="42" t="str">
        <f aca="false">IFERROR(IF($A59="","",$Z59/$V59),"")</f>
        <v/>
      </c>
    </row>
    <row r="60" customFormat="false" ht="18" hidden="false" customHeight="true" outlineLevel="0" collapsed="false">
      <c r="A60" s="30"/>
      <c r="B60" s="37" t="str">
        <f aca="false">IF($A60="","",IFERROR(INDEX('Fragrance Projects'!$C$5:$C$64,MATCH($A60,'Fragrance Projects'!$A$5:$A$64,0)),""))</f>
        <v/>
      </c>
      <c r="C60" s="37" t="str">
        <f aca="false">IF($A60="","",IFERROR(INDEX('Fragrance Projects'!$D$5:$D$64,MATCH($A60,'Fragrance Projects'!$A$5:$A$64,0)),""))</f>
        <v/>
      </c>
      <c r="D60" s="32"/>
      <c r="E60" s="33" t="str">
        <f aca="false">IF($A60="","",IFERROR(INDEX(Payments!$G$5:$G$64,MATCH($A60,Payments!$B$5:$B$64,0)),0)+IFERROR(INDEX(Payments!$K$5:$K$64,MATCH($A60,Payments!$B$5:$B$64,0)),0))</f>
        <v/>
      </c>
      <c r="F60" s="33" t="str">
        <f aca="false">IF($A60="","",$D60-$E60)</f>
        <v/>
      </c>
      <c r="G60" s="33" t="str">
        <f aca="false">IF($A60="","",SUMIFS('Expense Log'!$J$5:$J$154,'Expense Log'!$B$5:$B$154,$A60,'Expense Log'!$E$5:$E$154,"Raw Materials"))</f>
        <v/>
      </c>
      <c r="H60" s="33" t="str">
        <f aca="false">IF($A60="","",SUMIFS('Expense Log'!$J$5:$J$154,'Expense Log'!$B$5:$B$154,$A60,'Expense Log'!$E$5:$E$154,"Alcohol/Carrier"))</f>
        <v/>
      </c>
      <c r="I60" s="33" t="str">
        <f aca="false">IF($A60="","",SUMIFS('Expense Log'!$J$5:$J$154,'Expense Log'!$B$5:$B$154,$A60,'Expense Log'!$E$5:$E$154,"Bottles")+SUMIFS('Expense Log'!$J$5:$J$154,'Expense Log'!$B$5:$B$154,$A60,'Expense Log'!$E$5:$E$154,"Sample Vials"))</f>
        <v/>
      </c>
      <c r="J60" s="33" t="str">
        <f aca="false">IF($A60="","",SUMIFS('Expense Log'!$J$5:$J$154,'Expense Log'!$B$5:$B$154,$A60,'Expense Log'!$E$5:$E$154,"Packaging"))</f>
        <v/>
      </c>
      <c r="K60" s="33" t="str">
        <f aca="false">IF($A60="","",SUMIFS('Expense Log'!$J$5:$J$154,'Expense Log'!$B$5:$B$154,$A60,'Expense Log'!$E$5:$E$154,"Labels"))</f>
        <v/>
      </c>
      <c r="L60" s="33" t="str">
        <f aca="false">IF($A60="","",SUMIFS('Expense Log'!$J$5:$J$154,'Expense Log'!$B$5:$B$154,$A60,'Expense Log'!$E$5:$E$154,"Shipping"))</f>
        <v/>
      </c>
      <c r="M60" s="33" t="str">
        <f aca="false">IF($A60="","",SUMIFS('Expense Log'!$J$5:$J$154,'Expense Log'!$B$5:$B$154,$A60,'Expense Log'!$E$5:$E$154,"Documentation"))</f>
        <v/>
      </c>
      <c r="N60" s="33" t="str">
        <f aca="false">IF($A60="","",SUMIFS('Expense Log'!$J$5:$J$154,'Expense Log'!$B$5:$B$154,$A60,'Expense Log'!$E$5:$E$154,"SDS"))</f>
        <v/>
      </c>
      <c r="O60" s="33" t="str">
        <f aca="false">IF($A60="","",SUMIFS('Expense Log'!$J$5:$J$154,'Expense Log'!$B$5:$B$154,$A60,'Expense Log'!$E$5:$E$154,"IFRA/Allergen"))</f>
        <v/>
      </c>
      <c r="P60" s="33" t="str">
        <f aca="false">IF($A60="","",SUMIFS('Expense Log'!$J$5:$J$154,'Expense Log'!$B$5:$B$154,$A60,'Expense Log'!$E$5:$E$154,"CPSR"))</f>
        <v/>
      </c>
      <c r="Q60" s="33" t="str">
        <f aca="false">IF($A60="","",SUMIFS('Expense Log'!$J$5:$J$154,'Expense Log'!$B$5:$B$154,$A60,'Expense Log'!$E$5:$E$154,"Compounding"))</f>
        <v/>
      </c>
      <c r="R60" s="33" t="str">
        <f aca="false">IF($A60="","",SUMIFS('Expense Log'!$J$5:$J$154,'Expense Log'!$B$5:$B$154,$A60,'Expense Log'!$E$5:$E$154,"External Perfumer"))</f>
        <v/>
      </c>
      <c r="S60" s="33" t="str">
        <f aca="false">IF($A60="","",SUMIFS('Expense Log'!$J$5:$J$154,'Expense Log'!$B$5:$B$154,$A60,'Expense Log'!$E$5:$E$154,"Payment Fees"))</f>
        <v/>
      </c>
      <c r="T60" s="33" t="str">
        <f aca="false">IF($A60="","",SUMIFS('Expense Log'!$J$5:$J$154,'Expense Log'!$B$5:$B$154,$A60,'Expense Log'!$E$5:$E$154,"Testing")+SUMIFS('Expense Log'!$J$5:$J$154,'Expense Log'!$B$5:$B$154,$A60,'Expense Log'!$E$5:$E$154,"Software")+SUMIFS('Expense Log'!$J$5:$J$154,'Expense Log'!$B$5:$B$154,$A60,'Expense Log'!$E$5:$E$154,"Other"))</f>
        <v/>
      </c>
      <c r="U60" s="33" t="str">
        <f aca="false">IF($A60="","",SUM($G60:$T60))</f>
        <v/>
      </c>
      <c r="V60" s="39" t="str">
        <f aca="false">IF($A60="","",SUMIFS('Iteration Tracker'!$T$5:$T$124,'Iteration Tracker'!$A$5:$A$124,$A60))</f>
        <v/>
      </c>
      <c r="W60" s="40"/>
      <c r="X60" s="33" t="str">
        <f aca="false">IF($A60="","",$V60*$W60)</f>
        <v/>
      </c>
      <c r="Y60" s="33" t="str">
        <f aca="false">IF($A60="","",$U60+$X60)</f>
        <v/>
      </c>
      <c r="Z60" s="33" t="str">
        <f aca="false">IF($A60="","",$D60-$U60)</f>
        <v/>
      </c>
      <c r="AA60" s="33" t="str">
        <f aca="false">IF($A60="","",$D60-$Y60)</f>
        <v/>
      </c>
      <c r="AB60" s="41" t="str">
        <f aca="false">IF(OR($A60="",$D60=0),"",$Z60/$D60)</f>
        <v/>
      </c>
      <c r="AC60" s="41" t="str">
        <f aca="false">IF(OR($A60="",$D60=0),"",$AA60/$D60)</f>
        <v/>
      </c>
      <c r="AD60" s="42" t="str">
        <f aca="false">IFERROR(IF($A60="","",$Z60/$V60),"")</f>
        <v/>
      </c>
    </row>
    <row r="61" customFormat="false" ht="18" hidden="false" customHeight="true" outlineLevel="0" collapsed="false">
      <c r="A61" s="30"/>
      <c r="B61" s="37" t="str">
        <f aca="false">IF($A61="","",IFERROR(INDEX('Fragrance Projects'!$C$5:$C$64,MATCH($A61,'Fragrance Projects'!$A$5:$A$64,0)),""))</f>
        <v/>
      </c>
      <c r="C61" s="37" t="str">
        <f aca="false">IF($A61="","",IFERROR(INDEX('Fragrance Projects'!$D$5:$D$64,MATCH($A61,'Fragrance Projects'!$A$5:$A$64,0)),""))</f>
        <v/>
      </c>
      <c r="D61" s="32"/>
      <c r="E61" s="33" t="str">
        <f aca="false">IF($A61="","",IFERROR(INDEX(Payments!$G$5:$G$64,MATCH($A61,Payments!$B$5:$B$64,0)),0)+IFERROR(INDEX(Payments!$K$5:$K$64,MATCH($A61,Payments!$B$5:$B$64,0)),0))</f>
        <v/>
      </c>
      <c r="F61" s="33" t="str">
        <f aca="false">IF($A61="","",$D61-$E61)</f>
        <v/>
      </c>
      <c r="G61" s="33" t="str">
        <f aca="false">IF($A61="","",SUMIFS('Expense Log'!$J$5:$J$154,'Expense Log'!$B$5:$B$154,$A61,'Expense Log'!$E$5:$E$154,"Raw Materials"))</f>
        <v/>
      </c>
      <c r="H61" s="33" t="str">
        <f aca="false">IF($A61="","",SUMIFS('Expense Log'!$J$5:$J$154,'Expense Log'!$B$5:$B$154,$A61,'Expense Log'!$E$5:$E$154,"Alcohol/Carrier"))</f>
        <v/>
      </c>
      <c r="I61" s="33" t="str">
        <f aca="false">IF($A61="","",SUMIFS('Expense Log'!$J$5:$J$154,'Expense Log'!$B$5:$B$154,$A61,'Expense Log'!$E$5:$E$154,"Bottles")+SUMIFS('Expense Log'!$J$5:$J$154,'Expense Log'!$B$5:$B$154,$A61,'Expense Log'!$E$5:$E$154,"Sample Vials"))</f>
        <v/>
      </c>
      <c r="J61" s="33" t="str">
        <f aca="false">IF($A61="","",SUMIFS('Expense Log'!$J$5:$J$154,'Expense Log'!$B$5:$B$154,$A61,'Expense Log'!$E$5:$E$154,"Packaging"))</f>
        <v/>
      </c>
      <c r="K61" s="33" t="str">
        <f aca="false">IF($A61="","",SUMIFS('Expense Log'!$J$5:$J$154,'Expense Log'!$B$5:$B$154,$A61,'Expense Log'!$E$5:$E$154,"Labels"))</f>
        <v/>
      </c>
      <c r="L61" s="33" t="str">
        <f aca="false">IF($A61="","",SUMIFS('Expense Log'!$J$5:$J$154,'Expense Log'!$B$5:$B$154,$A61,'Expense Log'!$E$5:$E$154,"Shipping"))</f>
        <v/>
      </c>
      <c r="M61" s="33" t="str">
        <f aca="false">IF($A61="","",SUMIFS('Expense Log'!$J$5:$J$154,'Expense Log'!$B$5:$B$154,$A61,'Expense Log'!$E$5:$E$154,"Documentation"))</f>
        <v/>
      </c>
      <c r="N61" s="33" t="str">
        <f aca="false">IF($A61="","",SUMIFS('Expense Log'!$J$5:$J$154,'Expense Log'!$B$5:$B$154,$A61,'Expense Log'!$E$5:$E$154,"SDS"))</f>
        <v/>
      </c>
      <c r="O61" s="33" t="str">
        <f aca="false">IF($A61="","",SUMIFS('Expense Log'!$J$5:$J$154,'Expense Log'!$B$5:$B$154,$A61,'Expense Log'!$E$5:$E$154,"IFRA/Allergen"))</f>
        <v/>
      </c>
      <c r="P61" s="33" t="str">
        <f aca="false">IF($A61="","",SUMIFS('Expense Log'!$J$5:$J$154,'Expense Log'!$B$5:$B$154,$A61,'Expense Log'!$E$5:$E$154,"CPSR"))</f>
        <v/>
      </c>
      <c r="Q61" s="33" t="str">
        <f aca="false">IF($A61="","",SUMIFS('Expense Log'!$J$5:$J$154,'Expense Log'!$B$5:$B$154,$A61,'Expense Log'!$E$5:$E$154,"Compounding"))</f>
        <v/>
      </c>
      <c r="R61" s="33" t="str">
        <f aca="false">IF($A61="","",SUMIFS('Expense Log'!$J$5:$J$154,'Expense Log'!$B$5:$B$154,$A61,'Expense Log'!$E$5:$E$154,"External Perfumer"))</f>
        <v/>
      </c>
      <c r="S61" s="33" t="str">
        <f aca="false">IF($A61="","",SUMIFS('Expense Log'!$J$5:$J$154,'Expense Log'!$B$5:$B$154,$A61,'Expense Log'!$E$5:$E$154,"Payment Fees"))</f>
        <v/>
      </c>
      <c r="T61" s="33" t="str">
        <f aca="false">IF($A61="","",SUMIFS('Expense Log'!$J$5:$J$154,'Expense Log'!$B$5:$B$154,$A61,'Expense Log'!$E$5:$E$154,"Testing")+SUMIFS('Expense Log'!$J$5:$J$154,'Expense Log'!$B$5:$B$154,$A61,'Expense Log'!$E$5:$E$154,"Software")+SUMIFS('Expense Log'!$J$5:$J$154,'Expense Log'!$B$5:$B$154,$A61,'Expense Log'!$E$5:$E$154,"Other"))</f>
        <v/>
      </c>
      <c r="U61" s="33" t="str">
        <f aca="false">IF($A61="","",SUM($G61:$T61))</f>
        <v/>
      </c>
      <c r="V61" s="39" t="str">
        <f aca="false">IF($A61="","",SUMIFS('Iteration Tracker'!$T$5:$T$124,'Iteration Tracker'!$A$5:$A$124,$A61))</f>
        <v/>
      </c>
      <c r="W61" s="40"/>
      <c r="X61" s="33" t="str">
        <f aca="false">IF($A61="","",$V61*$W61)</f>
        <v/>
      </c>
      <c r="Y61" s="33" t="str">
        <f aca="false">IF($A61="","",$U61+$X61)</f>
        <v/>
      </c>
      <c r="Z61" s="33" t="str">
        <f aca="false">IF($A61="","",$D61-$U61)</f>
        <v/>
      </c>
      <c r="AA61" s="33" t="str">
        <f aca="false">IF($A61="","",$D61-$Y61)</f>
        <v/>
      </c>
      <c r="AB61" s="41" t="str">
        <f aca="false">IF(OR($A61="",$D61=0),"",$Z61/$D61)</f>
        <v/>
      </c>
      <c r="AC61" s="41" t="str">
        <f aca="false">IF(OR($A61="",$D61=0),"",$AA61/$D61)</f>
        <v/>
      </c>
      <c r="AD61" s="42" t="str">
        <f aca="false">IFERROR(IF($A61="","",$Z61/$V61),"")</f>
        <v/>
      </c>
    </row>
    <row r="62" customFormat="false" ht="18" hidden="false" customHeight="true" outlineLevel="0" collapsed="false">
      <c r="A62" s="30"/>
      <c r="B62" s="37" t="str">
        <f aca="false">IF($A62="","",IFERROR(INDEX('Fragrance Projects'!$C$5:$C$64,MATCH($A62,'Fragrance Projects'!$A$5:$A$64,0)),""))</f>
        <v/>
      </c>
      <c r="C62" s="37" t="str">
        <f aca="false">IF($A62="","",IFERROR(INDEX('Fragrance Projects'!$D$5:$D$64,MATCH($A62,'Fragrance Projects'!$A$5:$A$64,0)),""))</f>
        <v/>
      </c>
      <c r="D62" s="32"/>
      <c r="E62" s="33" t="str">
        <f aca="false">IF($A62="","",IFERROR(INDEX(Payments!$G$5:$G$64,MATCH($A62,Payments!$B$5:$B$64,0)),0)+IFERROR(INDEX(Payments!$K$5:$K$64,MATCH($A62,Payments!$B$5:$B$64,0)),0))</f>
        <v/>
      </c>
      <c r="F62" s="33" t="str">
        <f aca="false">IF($A62="","",$D62-$E62)</f>
        <v/>
      </c>
      <c r="G62" s="33" t="str">
        <f aca="false">IF($A62="","",SUMIFS('Expense Log'!$J$5:$J$154,'Expense Log'!$B$5:$B$154,$A62,'Expense Log'!$E$5:$E$154,"Raw Materials"))</f>
        <v/>
      </c>
      <c r="H62" s="33" t="str">
        <f aca="false">IF($A62="","",SUMIFS('Expense Log'!$J$5:$J$154,'Expense Log'!$B$5:$B$154,$A62,'Expense Log'!$E$5:$E$154,"Alcohol/Carrier"))</f>
        <v/>
      </c>
      <c r="I62" s="33" t="str">
        <f aca="false">IF($A62="","",SUMIFS('Expense Log'!$J$5:$J$154,'Expense Log'!$B$5:$B$154,$A62,'Expense Log'!$E$5:$E$154,"Bottles")+SUMIFS('Expense Log'!$J$5:$J$154,'Expense Log'!$B$5:$B$154,$A62,'Expense Log'!$E$5:$E$154,"Sample Vials"))</f>
        <v/>
      </c>
      <c r="J62" s="33" t="str">
        <f aca="false">IF($A62="","",SUMIFS('Expense Log'!$J$5:$J$154,'Expense Log'!$B$5:$B$154,$A62,'Expense Log'!$E$5:$E$154,"Packaging"))</f>
        <v/>
      </c>
      <c r="K62" s="33" t="str">
        <f aca="false">IF($A62="","",SUMIFS('Expense Log'!$J$5:$J$154,'Expense Log'!$B$5:$B$154,$A62,'Expense Log'!$E$5:$E$154,"Labels"))</f>
        <v/>
      </c>
      <c r="L62" s="33" t="str">
        <f aca="false">IF($A62="","",SUMIFS('Expense Log'!$J$5:$J$154,'Expense Log'!$B$5:$B$154,$A62,'Expense Log'!$E$5:$E$154,"Shipping"))</f>
        <v/>
      </c>
      <c r="M62" s="33" t="str">
        <f aca="false">IF($A62="","",SUMIFS('Expense Log'!$J$5:$J$154,'Expense Log'!$B$5:$B$154,$A62,'Expense Log'!$E$5:$E$154,"Documentation"))</f>
        <v/>
      </c>
      <c r="N62" s="33" t="str">
        <f aca="false">IF($A62="","",SUMIFS('Expense Log'!$J$5:$J$154,'Expense Log'!$B$5:$B$154,$A62,'Expense Log'!$E$5:$E$154,"SDS"))</f>
        <v/>
      </c>
      <c r="O62" s="33" t="str">
        <f aca="false">IF($A62="","",SUMIFS('Expense Log'!$J$5:$J$154,'Expense Log'!$B$5:$B$154,$A62,'Expense Log'!$E$5:$E$154,"IFRA/Allergen"))</f>
        <v/>
      </c>
      <c r="P62" s="33" t="str">
        <f aca="false">IF($A62="","",SUMIFS('Expense Log'!$J$5:$J$154,'Expense Log'!$B$5:$B$154,$A62,'Expense Log'!$E$5:$E$154,"CPSR"))</f>
        <v/>
      </c>
      <c r="Q62" s="33" t="str">
        <f aca="false">IF($A62="","",SUMIFS('Expense Log'!$J$5:$J$154,'Expense Log'!$B$5:$B$154,$A62,'Expense Log'!$E$5:$E$154,"Compounding"))</f>
        <v/>
      </c>
      <c r="R62" s="33" t="str">
        <f aca="false">IF($A62="","",SUMIFS('Expense Log'!$J$5:$J$154,'Expense Log'!$B$5:$B$154,$A62,'Expense Log'!$E$5:$E$154,"External Perfumer"))</f>
        <v/>
      </c>
      <c r="S62" s="33" t="str">
        <f aca="false">IF($A62="","",SUMIFS('Expense Log'!$J$5:$J$154,'Expense Log'!$B$5:$B$154,$A62,'Expense Log'!$E$5:$E$154,"Payment Fees"))</f>
        <v/>
      </c>
      <c r="T62" s="33" t="str">
        <f aca="false">IF($A62="","",SUMIFS('Expense Log'!$J$5:$J$154,'Expense Log'!$B$5:$B$154,$A62,'Expense Log'!$E$5:$E$154,"Testing")+SUMIFS('Expense Log'!$J$5:$J$154,'Expense Log'!$B$5:$B$154,$A62,'Expense Log'!$E$5:$E$154,"Software")+SUMIFS('Expense Log'!$J$5:$J$154,'Expense Log'!$B$5:$B$154,$A62,'Expense Log'!$E$5:$E$154,"Other"))</f>
        <v/>
      </c>
      <c r="U62" s="33" t="str">
        <f aca="false">IF($A62="","",SUM($G62:$T62))</f>
        <v/>
      </c>
      <c r="V62" s="39" t="str">
        <f aca="false">IF($A62="","",SUMIFS('Iteration Tracker'!$T$5:$T$124,'Iteration Tracker'!$A$5:$A$124,$A62))</f>
        <v/>
      </c>
      <c r="W62" s="40"/>
      <c r="X62" s="33" t="str">
        <f aca="false">IF($A62="","",$V62*$W62)</f>
        <v/>
      </c>
      <c r="Y62" s="33" t="str">
        <f aca="false">IF($A62="","",$U62+$X62)</f>
        <v/>
      </c>
      <c r="Z62" s="33" t="str">
        <f aca="false">IF($A62="","",$D62-$U62)</f>
        <v/>
      </c>
      <c r="AA62" s="33" t="str">
        <f aca="false">IF($A62="","",$D62-$Y62)</f>
        <v/>
      </c>
      <c r="AB62" s="41" t="str">
        <f aca="false">IF(OR($A62="",$D62=0),"",$Z62/$D62)</f>
        <v/>
      </c>
      <c r="AC62" s="41" t="str">
        <f aca="false">IF(OR($A62="",$D62=0),"",$AA62/$D62)</f>
        <v/>
      </c>
      <c r="AD62" s="42" t="str">
        <f aca="false">IFERROR(IF($A62="","",$Z62/$V62),"")</f>
        <v/>
      </c>
    </row>
    <row r="63" customFormat="false" ht="18" hidden="false" customHeight="true" outlineLevel="0" collapsed="false">
      <c r="A63" s="30"/>
      <c r="B63" s="37" t="str">
        <f aca="false">IF($A63="","",IFERROR(INDEX('Fragrance Projects'!$C$5:$C$64,MATCH($A63,'Fragrance Projects'!$A$5:$A$64,0)),""))</f>
        <v/>
      </c>
      <c r="C63" s="37" t="str">
        <f aca="false">IF($A63="","",IFERROR(INDEX('Fragrance Projects'!$D$5:$D$64,MATCH($A63,'Fragrance Projects'!$A$5:$A$64,0)),""))</f>
        <v/>
      </c>
      <c r="D63" s="32"/>
      <c r="E63" s="33" t="str">
        <f aca="false">IF($A63="","",IFERROR(INDEX(Payments!$G$5:$G$64,MATCH($A63,Payments!$B$5:$B$64,0)),0)+IFERROR(INDEX(Payments!$K$5:$K$64,MATCH($A63,Payments!$B$5:$B$64,0)),0))</f>
        <v/>
      </c>
      <c r="F63" s="33" t="str">
        <f aca="false">IF($A63="","",$D63-$E63)</f>
        <v/>
      </c>
      <c r="G63" s="33" t="str">
        <f aca="false">IF($A63="","",SUMIFS('Expense Log'!$J$5:$J$154,'Expense Log'!$B$5:$B$154,$A63,'Expense Log'!$E$5:$E$154,"Raw Materials"))</f>
        <v/>
      </c>
      <c r="H63" s="33" t="str">
        <f aca="false">IF($A63="","",SUMIFS('Expense Log'!$J$5:$J$154,'Expense Log'!$B$5:$B$154,$A63,'Expense Log'!$E$5:$E$154,"Alcohol/Carrier"))</f>
        <v/>
      </c>
      <c r="I63" s="33" t="str">
        <f aca="false">IF($A63="","",SUMIFS('Expense Log'!$J$5:$J$154,'Expense Log'!$B$5:$B$154,$A63,'Expense Log'!$E$5:$E$154,"Bottles")+SUMIFS('Expense Log'!$J$5:$J$154,'Expense Log'!$B$5:$B$154,$A63,'Expense Log'!$E$5:$E$154,"Sample Vials"))</f>
        <v/>
      </c>
      <c r="J63" s="33" t="str">
        <f aca="false">IF($A63="","",SUMIFS('Expense Log'!$J$5:$J$154,'Expense Log'!$B$5:$B$154,$A63,'Expense Log'!$E$5:$E$154,"Packaging"))</f>
        <v/>
      </c>
      <c r="K63" s="33" t="str">
        <f aca="false">IF($A63="","",SUMIFS('Expense Log'!$J$5:$J$154,'Expense Log'!$B$5:$B$154,$A63,'Expense Log'!$E$5:$E$154,"Labels"))</f>
        <v/>
      </c>
      <c r="L63" s="33" t="str">
        <f aca="false">IF($A63="","",SUMIFS('Expense Log'!$J$5:$J$154,'Expense Log'!$B$5:$B$154,$A63,'Expense Log'!$E$5:$E$154,"Shipping"))</f>
        <v/>
      </c>
      <c r="M63" s="33" t="str">
        <f aca="false">IF($A63="","",SUMIFS('Expense Log'!$J$5:$J$154,'Expense Log'!$B$5:$B$154,$A63,'Expense Log'!$E$5:$E$154,"Documentation"))</f>
        <v/>
      </c>
      <c r="N63" s="33" t="str">
        <f aca="false">IF($A63="","",SUMIFS('Expense Log'!$J$5:$J$154,'Expense Log'!$B$5:$B$154,$A63,'Expense Log'!$E$5:$E$154,"SDS"))</f>
        <v/>
      </c>
      <c r="O63" s="33" t="str">
        <f aca="false">IF($A63="","",SUMIFS('Expense Log'!$J$5:$J$154,'Expense Log'!$B$5:$B$154,$A63,'Expense Log'!$E$5:$E$154,"IFRA/Allergen"))</f>
        <v/>
      </c>
      <c r="P63" s="33" t="str">
        <f aca="false">IF($A63="","",SUMIFS('Expense Log'!$J$5:$J$154,'Expense Log'!$B$5:$B$154,$A63,'Expense Log'!$E$5:$E$154,"CPSR"))</f>
        <v/>
      </c>
      <c r="Q63" s="33" t="str">
        <f aca="false">IF($A63="","",SUMIFS('Expense Log'!$J$5:$J$154,'Expense Log'!$B$5:$B$154,$A63,'Expense Log'!$E$5:$E$154,"Compounding"))</f>
        <v/>
      </c>
      <c r="R63" s="33" t="str">
        <f aca="false">IF($A63="","",SUMIFS('Expense Log'!$J$5:$J$154,'Expense Log'!$B$5:$B$154,$A63,'Expense Log'!$E$5:$E$154,"External Perfumer"))</f>
        <v/>
      </c>
      <c r="S63" s="33" t="str">
        <f aca="false">IF($A63="","",SUMIFS('Expense Log'!$J$5:$J$154,'Expense Log'!$B$5:$B$154,$A63,'Expense Log'!$E$5:$E$154,"Payment Fees"))</f>
        <v/>
      </c>
      <c r="T63" s="33" t="str">
        <f aca="false">IF($A63="","",SUMIFS('Expense Log'!$J$5:$J$154,'Expense Log'!$B$5:$B$154,$A63,'Expense Log'!$E$5:$E$154,"Testing")+SUMIFS('Expense Log'!$J$5:$J$154,'Expense Log'!$B$5:$B$154,$A63,'Expense Log'!$E$5:$E$154,"Software")+SUMIFS('Expense Log'!$J$5:$J$154,'Expense Log'!$B$5:$B$154,$A63,'Expense Log'!$E$5:$E$154,"Other"))</f>
        <v/>
      </c>
      <c r="U63" s="33" t="str">
        <f aca="false">IF($A63="","",SUM($G63:$T63))</f>
        <v/>
      </c>
      <c r="V63" s="39" t="str">
        <f aca="false">IF($A63="","",SUMIFS('Iteration Tracker'!$T$5:$T$124,'Iteration Tracker'!$A$5:$A$124,$A63))</f>
        <v/>
      </c>
      <c r="W63" s="40"/>
      <c r="X63" s="33" t="str">
        <f aca="false">IF($A63="","",$V63*$W63)</f>
        <v/>
      </c>
      <c r="Y63" s="33" t="str">
        <f aca="false">IF($A63="","",$U63+$X63)</f>
        <v/>
      </c>
      <c r="Z63" s="33" t="str">
        <f aca="false">IF($A63="","",$D63-$U63)</f>
        <v/>
      </c>
      <c r="AA63" s="33" t="str">
        <f aca="false">IF($A63="","",$D63-$Y63)</f>
        <v/>
      </c>
      <c r="AB63" s="41" t="str">
        <f aca="false">IF(OR($A63="",$D63=0),"",$Z63/$D63)</f>
        <v/>
      </c>
      <c r="AC63" s="41" t="str">
        <f aca="false">IF(OR($A63="",$D63=0),"",$AA63/$D63)</f>
        <v/>
      </c>
      <c r="AD63" s="42" t="str">
        <f aca="false">IFERROR(IF($A63="","",$Z63/$V63),"")</f>
        <v/>
      </c>
    </row>
    <row r="64" customFormat="false" ht="18" hidden="false" customHeight="true" outlineLevel="0" collapsed="false">
      <c r="A64" s="30"/>
      <c r="B64" s="37" t="str">
        <f aca="false">IF($A64="","",IFERROR(INDEX('Fragrance Projects'!$C$5:$C$64,MATCH($A64,'Fragrance Projects'!$A$5:$A$64,0)),""))</f>
        <v/>
      </c>
      <c r="C64" s="37" t="str">
        <f aca="false">IF($A64="","",IFERROR(INDEX('Fragrance Projects'!$D$5:$D$64,MATCH($A64,'Fragrance Projects'!$A$5:$A$64,0)),""))</f>
        <v/>
      </c>
      <c r="D64" s="32"/>
      <c r="E64" s="33" t="str">
        <f aca="false">IF($A64="","",IFERROR(INDEX(Payments!$G$5:$G$64,MATCH($A64,Payments!$B$5:$B$64,0)),0)+IFERROR(INDEX(Payments!$K$5:$K$64,MATCH($A64,Payments!$B$5:$B$64,0)),0))</f>
        <v/>
      </c>
      <c r="F64" s="33" t="str">
        <f aca="false">IF($A64="","",$D64-$E64)</f>
        <v/>
      </c>
      <c r="G64" s="33" t="str">
        <f aca="false">IF($A64="","",SUMIFS('Expense Log'!$J$5:$J$154,'Expense Log'!$B$5:$B$154,$A64,'Expense Log'!$E$5:$E$154,"Raw Materials"))</f>
        <v/>
      </c>
      <c r="H64" s="33" t="str">
        <f aca="false">IF($A64="","",SUMIFS('Expense Log'!$J$5:$J$154,'Expense Log'!$B$5:$B$154,$A64,'Expense Log'!$E$5:$E$154,"Alcohol/Carrier"))</f>
        <v/>
      </c>
      <c r="I64" s="33" t="str">
        <f aca="false">IF($A64="","",SUMIFS('Expense Log'!$J$5:$J$154,'Expense Log'!$B$5:$B$154,$A64,'Expense Log'!$E$5:$E$154,"Bottles")+SUMIFS('Expense Log'!$J$5:$J$154,'Expense Log'!$B$5:$B$154,$A64,'Expense Log'!$E$5:$E$154,"Sample Vials"))</f>
        <v/>
      </c>
      <c r="J64" s="33" t="str">
        <f aca="false">IF($A64="","",SUMIFS('Expense Log'!$J$5:$J$154,'Expense Log'!$B$5:$B$154,$A64,'Expense Log'!$E$5:$E$154,"Packaging"))</f>
        <v/>
      </c>
      <c r="K64" s="33" t="str">
        <f aca="false">IF($A64="","",SUMIFS('Expense Log'!$J$5:$J$154,'Expense Log'!$B$5:$B$154,$A64,'Expense Log'!$E$5:$E$154,"Labels"))</f>
        <v/>
      </c>
      <c r="L64" s="33" t="str">
        <f aca="false">IF($A64="","",SUMIFS('Expense Log'!$J$5:$J$154,'Expense Log'!$B$5:$B$154,$A64,'Expense Log'!$E$5:$E$154,"Shipping"))</f>
        <v/>
      </c>
      <c r="M64" s="33" t="str">
        <f aca="false">IF($A64="","",SUMIFS('Expense Log'!$J$5:$J$154,'Expense Log'!$B$5:$B$154,$A64,'Expense Log'!$E$5:$E$154,"Documentation"))</f>
        <v/>
      </c>
      <c r="N64" s="33" t="str">
        <f aca="false">IF($A64="","",SUMIFS('Expense Log'!$J$5:$J$154,'Expense Log'!$B$5:$B$154,$A64,'Expense Log'!$E$5:$E$154,"SDS"))</f>
        <v/>
      </c>
      <c r="O64" s="33" t="str">
        <f aca="false">IF($A64="","",SUMIFS('Expense Log'!$J$5:$J$154,'Expense Log'!$B$5:$B$154,$A64,'Expense Log'!$E$5:$E$154,"IFRA/Allergen"))</f>
        <v/>
      </c>
      <c r="P64" s="33" t="str">
        <f aca="false">IF($A64="","",SUMIFS('Expense Log'!$J$5:$J$154,'Expense Log'!$B$5:$B$154,$A64,'Expense Log'!$E$5:$E$154,"CPSR"))</f>
        <v/>
      </c>
      <c r="Q64" s="33" t="str">
        <f aca="false">IF($A64="","",SUMIFS('Expense Log'!$J$5:$J$154,'Expense Log'!$B$5:$B$154,$A64,'Expense Log'!$E$5:$E$154,"Compounding"))</f>
        <v/>
      </c>
      <c r="R64" s="33" t="str">
        <f aca="false">IF($A64="","",SUMIFS('Expense Log'!$J$5:$J$154,'Expense Log'!$B$5:$B$154,$A64,'Expense Log'!$E$5:$E$154,"External Perfumer"))</f>
        <v/>
      </c>
      <c r="S64" s="33" t="str">
        <f aca="false">IF($A64="","",SUMIFS('Expense Log'!$J$5:$J$154,'Expense Log'!$B$5:$B$154,$A64,'Expense Log'!$E$5:$E$154,"Payment Fees"))</f>
        <v/>
      </c>
      <c r="T64" s="33" t="str">
        <f aca="false">IF($A64="","",SUMIFS('Expense Log'!$J$5:$J$154,'Expense Log'!$B$5:$B$154,$A64,'Expense Log'!$E$5:$E$154,"Testing")+SUMIFS('Expense Log'!$J$5:$J$154,'Expense Log'!$B$5:$B$154,$A64,'Expense Log'!$E$5:$E$154,"Software")+SUMIFS('Expense Log'!$J$5:$J$154,'Expense Log'!$B$5:$B$154,$A64,'Expense Log'!$E$5:$E$154,"Other"))</f>
        <v/>
      </c>
      <c r="U64" s="33" t="str">
        <f aca="false">IF($A64="","",SUM($G64:$T64))</f>
        <v/>
      </c>
      <c r="V64" s="39" t="str">
        <f aca="false">IF($A64="","",SUMIFS('Iteration Tracker'!$T$5:$T$124,'Iteration Tracker'!$A$5:$A$124,$A64))</f>
        <v/>
      </c>
      <c r="W64" s="40"/>
      <c r="X64" s="33" t="str">
        <f aca="false">IF($A64="","",$V64*$W64)</f>
        <v/>
      </c>
      <c r="Y64" s="33" t="str">
        <f aca="false">IF($A64="","",$U64+$X64)</f>
        <v/>
      </c>
      <c r="Z64" s="33" t="str">
        <f aca="false">IF($A64="","",$D64-$U64)</f>
        <v/>
      </c>
      <c r="AA64" s="33" t="str">
        <f aca="false">IF($A64="","",$D64-$Y64)</f>
        <v/>
      </c>
      <c r="AB64" s="41" t="str">
        <f aca="false">IF(OR($A64="",$D64=0),"",$Z64/$D64)</f>
        <v/>
      </c>
      <c r="AC64" s="41" t="str">
        <f aca="false">IF(OR($A64="",$D64=0),"",$AA64/$D64)</f>
        <v/>
      </c>
      <c r="AD64" s="42" t="str">
        <f aca="false">IFERROR(IF($A64="","",$Z64/$V64),"")</f>
        <v/>
      </c>
    </row>
  </sheetData>
  <sheetProtection sheet="true" formatCells="false" formatColumns="false" formatRows="false" insertRows="false" sort="false" autoFilter="false"/>
  <mergeCells count="5">
    <mergeCell ref="A1:AD1"/>
    <mergeCell ref="A2:AD2"/>
    <mergeCell ref="B3:C3"/>
    <mergeCell ref="F3:G3"/>
    <mergeCell ref="J3:K3"/>
  </mergeCells>
  <conditionalFormatting sqref="AC5:AC64">
    <cfRule type="cellIs" priority="2" operator="lessThan" aboveAverage="0" equalAverage="0" bottom="0" percent="0" rank="0" text="" dxfId="2">
      <formula>0</formula>
    </cfRule>
    <cfRule type="expression" priority="3" aboveAverage="0" equalAverage="0" bottom="0" percent="0" rank="0" text="" dxfId="16">
      <formula>AND(AC5&gt;=0,AC5&lt;0.2)</formula>
    </cfRule>
    <cfRule type="expression" priority="4" aboveAverage="0" equalAverage="0" bottom="0" percent="0" rank="0" text="" dxfId="5">
      <formula>AND(AC5&lt;&gt;"",AC5&gt;=0.4)</formula>
    </cfRule>
  </conditionalFormatting>
  <dataValidations count="1">
    <dataValidation allowBlank="true" error="Please choose a value from the dropdown list." errorStyle="stop" errorTitle="Invalid entry" operator="between" showDropDown="false" showErrorMessage="true" showInputMessage="false" sqref="A5:A64" type="list">
      <formula1>'Fragrance Projects'!$A$5:$A$64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11"/>
    <col collapsed="false" customWidth="true" hidden="false" outlineLevel="0" max="2" min="2" style="3" width="9"/>
    <col collapsed="false" customWidth="true" hidden="false" outlineLevel="0" max="3" min="3" style="3" width="15"/>
    <col collapsed="false" customWidth="true" hidden="false" outlineLevel="0" max="4" min="4" style="3" width="20"/>
    <col collapsed="false" customWidth="true" hidden="false" outlineLevel="0" max="5" min="5" style="3" width="15"/>
    <col collapsed="false" customWidth="true" hidden="false" outlineLevel="0" max="6" min="6" style="3" width="18"/>
    <col collapsed="false" customWidth="true" hidden="false" outlineLevel="0" max="7" min="7" style="3" width="30"/>
    <col collapsed="false" customWidth="true" hidden="false" outlineLevel="0" max="8" min="8" style="3" width="8"/>
    <col collapsed="false" customWidth="true" hidden="false" outlineLevel="0" max="9" min="9" style="3" width="9"/>
    <col collapsed="false" customWidth="true" hidden="false" outlineLevel="0" max="10" min="10" style="3" width="10"/>
    <col collapsed="false" customWidth="true" hidden="false" outlineLevel="0" max="11" min="11" style="3" width="7"/>
    <col collapsed="false" customWidth="true" hidden="false" outlineLevel="0" max="12" min="12" style="3" width="10"/>
    <col collapsed="false" customWidth="true" hidden="false" outlineLevel="0" max="13" min="13" style="3" width="16"/>
    <col collapsed="false" customWidth="true" hidden="false" outlineLevel="0" max="14" min="14" style="3" width="26"/>
  </cols>
  <sheetData>
    <row r="1" customFormat="false" ht="33.75" hidden="false" customHeight="true" outlineLevel="0" collapsed="false">
      <c r="A1" s="4" t="s">
        <v>323</v>
      </c>
      <c r="B1" s="4"/>
      <c r="C1" s="4"/>
      <c r="D1" s="4"/>
      <c r="E1" s="4"/>
      <c r="F1" s="4"/>
      <c r="G1" s="4"/>
      <c r="H1" s="4"/>
      <c r="I1" s="4"/>
      <c r="J1" s="4"/>
      <c r="K1" s="4"/>
      <c r="L1" s="4"/>
      <c r="M1" s="4"/>
      <c r="N1" s="4"/>
    </row>
    <row r="2" customFormat="false" ht="19.5" hidden="false" customHeight="true" outlineLevel="0" collapsed="false">
      <c r="A2" s="25" t="s">
        <v>324</v>
      </c>
      <c r="B2" s="25"/>
      <c r="C2" s="25"/>
      <c r="D2" s="25"/>
      <c r="E2" s="25"/>
      <c r="F2" s="25"/>
      <c r="G2" s="25"/>
      <c r="H2" s="25"/>
      <c r="I2" s="25"/>
      <c r="J2" s="25"/>
      <c r="K2" s="25"/>
      <c r="L2" s="25"/>
      <c r="M2" s="25"/>
      <c r="N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325</v>
      </c>
      <c r="B4" s="17" t="s">
        <v>204</v>
      </c>
      <c r="C4" s="17" t="s">
        <v>50</v>
      </c>
      <c r="D4" s="17" t="s">
        <v>157</v>
      </c>
      <c r="E4" s="17" t="s">
        <v>326</v>
      </c>
      <c r="F4" s="17" t="s">
        <v>81</v>
      </c>
      <c r="G4" s="17" t="s">
        <v>327</v>
      </c>
      <c r="H4" s="17" t="s">
        <v>328</v>
      </c>
      <c r="I4" s="17" t="s">
        <v>329</v>
      </c>
      <c r="J4" s="17" t="s">
        <v>330</v>
      </c>
      <c r="K4" s="17" t="s">
        <v>331</v>
      </c>
      <c r="L4" s="17" t="s">
        <v>332</v>
      </c>
      <c r="M4" s="17" t="s">
        <v>333</v>
      </c>
      <c r="N4" s="17" t="s">
        <v>201</v>
      </c>
    </row>
    <row r="5" customFormat="false" ht="24" hidden="false" customHeight="true" outlineLevel="0" collapsed="false">
      <c r="A5" s="31"/>
      <c r="B5" s="30"/>
      <c r="C5" s="37" t="str">
        <f aca="false">IF($B5="","",IFERROR(INDEX('Fragrance Projects'!$C$5:$C$64,MATCH($B5,'Fragrance Projects'!$A$5:$A$64,0)),""))</f>
        <v/>
      </c>
      <c r="D5" s="37" t="str">
        <f aca="false">IF($B5="","",IFERROR(INDEX('Fragrance Projects'!$D$5:$D$64,MATCH($B5,'Fragrance Projects'!$A$5:$A$64,0)),""))</f>
        <v/>
      </c>
      <c r="E5" s="30"/>
      <c r="F5" s="30"/>
      <c r="G5" s="34"/>
      <c r="H5" s="30"/>
      <c r="I5" s="40"/>
      <c r="J5" s="42" t="str">
        <f aca="false">IF($H5="","",$H5*$I5)</f>
        <v/>
      </c>
      <c r="K5" s="30"/>
      <c r="L5" s="30"/>
      <c r="M5" s="30"/>
      <c r="N5" s="34"/>
    </row>
    <row r="6" customFormat="false" ht="24" hidden="false" customHeight="true" outlineLevel="0" collapsed="false">
      <c r="A6" s="31"/>
      <c r="B6" s="30"/>
      <c r="C6" s="37" t="str">
        <f aca="false">IF($B6="","",IFERROR(INDEX('Fragrance Projects'!$C$5:$C$64,MATCH($B6,'Fragrance Projects'!$A$5:$A$64,0)),""))</f>
        <v/>
      </c>
      <c r="D6" s="37" t="str">
        <f aca="false">IF($B6="","",IFERROR(INDEX('Fragrance Projects'!$D$5:$D$64,MATCH($B6,'Fragrance Projects'!$A$5:$A$64,0)),""))</f>
        <v/>
      </c>
      <c r="E6" s="30"/>
      <c r="F6" s="30"/>
      <c r="G6" s="34"/>
      <c r="H6" s="30"/>
      <c r="I6" s="40"/>
      <c r="J6" s="42" t="str">
        <f aca="false">IF($H6="","",$H6*$I6)</f>
        <v/>
      </c>
      <c r="K6" s="30"/>
      <c r="L6" s="30"/>
      <c r="M6" s="30"/>
      <c r="N6" s="34"/>
    </row>
    <row r="7" customFormat="false" ht="24" hidden="false" customHeight="true" outlineLevel="0" collapsed="false">
      <c r="A7" s="31"/>
      <c r="B7" s="30"/>
      <c r="C7" s="37" t="str">
        <f aca="false">IF($B7="","",IFERROR(INDEX('Fragrance Projects'!$C$5:$C$64,MATCH($B7,'Fragrance Projects'!$A$5:$A$64,0)),""))</f>
        <v/>
      </c>
      <c r="D7" s="37" t="str">
        <f aca="false">IF($B7="","",IFERROR(INDEX('Fragrance Projects'!$D$5:$D$64,MATCH($B7,'Fragrance Projects'!$A$5:$A$64,0)),""))</f>
        <v/>
      </c>
      <c r="E7" s="30"/>
      <c r="F7" s="30"/>
      <c r="G7" s="34"/>
      <c r="H7" s="30"/>
      <c r="I7" s="40"/>
      <c r="J7" s="42" t="str">
        <f aca="false">IF($H7="","",$H7*$I7)</f>
        <v/>
      </c>
      <c r="K7" s="30"/>
      <c r="L7" s="30"/>
      <c r="M7" s="30"/>
      <c r="N7" s="34"/>
    </row>
    <row r="8" customFormat="false" ht="24" hidden="false" customHeight="true" outlineLevel="0" collapsed="false">
      <c r="A8" s="31"/>
      <c r="B8" s="30"/>
      <c r="C8" s="37" t="str">
        <f aca="false">IF($B8="","",IFERROR(INDEX('Fragrance Projects'!$C$5:$C$64,MATCH($B8,'Fragrance Projects'!$A$5:$A$64,0)),""))</f>
        <v/>
      </c>
      <c r="D8" s="37" t="str">
        <f aca="false">IF($B8="","",IFERROR(INDEX('Fragrance Projects'!$D$5:$D$64,MATCH($B8,'Fragrance Projects'!$A$5:$A$64,0)),""))</f>
        <v/>
      </c>
      <c r="E8" s="30"/>
      <c r="F8" s="30"/>
      <c r="G8" s="34"/>
      <c r="H8" s="30"/>
      <c r="I8" s="40"/>
      <c r="J8" s="42" t="str">
        <f aca="false">IF($H8="","",$H8*$I8)</f>
        <v/>
      </c>
      <c r="K8" s="30"/>
      <c r="L8" s="30"/>
      <c r="M8" s="30"/>
      <c r="N8" s="34"/>
    </row>
    <row r="9" customFormat="false" ht="24" hidden="false" customHeight="true" outlineLevel="0" collapsed="false">
      <c r="A9" s="31"/>
      <c r="B9" s="30"/>
      <c r="C9" s="37" t="str">
        <f aca="false">IF($B9="","",IFERROR(INDEX('Fragrance Projects'!$C$5:$C$64,MATCH($B9,'Fragrance Projects'!$A$5:$A$64,0)),""))</f>
        <v/>
      </c>
      <c r="D9" s="37" t="str">
        <f aca="false">IF($B9="","",IFERROR(INDEX('Fragrance Projects'!$D$5:$D$64,MATCH($B9,'Fragrance Projects'!$A$5:$A$64,0)),""))</f>
        <v/>
      </c>
      <c r="E9" s="30"/>
      <c r="F9" s="30"/>
      <c r="G9" s="34"/>
      <c r="H9" s="30"/>
      <c r="I9" s="40"/>
      <c r="J9" s="42" t="str">
        <f aca="false">IF($H9="","",$H9*$I9)</f>
        <v/>
      </c>
      <c r="K9" s="30"/>
      <c r="L9" s="30"/>
      <c r="M9" s="30"/>
      <c r="N9" s="34"/>
    </row>
    <row r="10" customFormat="false" ht="24" hidden="false" customHeight="true" outlineLevel="0" collapsed="false">
      <c r="A10" s="31"/>
      <c r="B10" s="30"/>
      <c r="C10" s="37" t="str">
        <f aca="false">IF($B10="","",IFERROR(INDEX('Fragrance Projects'!$C$5:$C$64,MATCH($B10,'Fragrance Projects'!$A$5:$A$64,0)),""))</f>
        <v/>
      </c>
      <c r="D10" s="37" t="str">
        <f aca="false">IF($B10="","",IFERROR(INDEX('Fragrance Projects'!$D$5:$D$64,MATCH($B10,'Fragrance Projects'!$A$5:$A$64,0)),""))</f>
        <v/>
      </c>
      <c r="E10" s="30"/>
      <c r="F10" s="30"/>
      <c r="G10" s="34"/>
      <c r="H10" s="30"/>
      <c r="I10" s="40"/>
      <c r="J10" s="42" t="str">
        <f aca="false">IF($H10="","",$H10*$I10)</f>
        <v/>
      </c>
      <c r="K10" s="30"/>
      <c r="L10" s="30"/>
      <c r="M10" s="30"/>
      <c r="N10" s="34"/>
    </row>
    <row r="11" customFormat="false" ht="24" hidden="false" customHeight="true" outlineLevel="0" collapsed="false">
      <c r="A11" s="31"/>
      <c r="B11" s="30"/>
      <c r="C11" s="37" t="str">
        <f aca="false">IF($B11="","",IFERROR(INDEX('Fragrance Projects'!$C$5:$C$64,MATCH($B11,'Fragrance Projects'!$A$5:$A$64,0)),""))</f>
        <v/>
      </c>
      <c r="D11" s="37" t="str">
        <f aca="false">IF($B11="","",IFERROR(INDEX('Fragrance Projects'!$D$5:$D$64,MATCH($B11,'Fragrance Projects'!$A$5:$A$64,0)),""))</f>
        <v/>
      </c>
      <c r="E11" s="30"/>
      <c r="F11" s="30"/>
      <c r="G11" s="34"/>
      <c r="H11" s="30"/>
      <c r="I11" s="40"/>
      <c r="J11" s="42" t="str">
        <f aca="false">IF($H11="","",$H11*$I11)</f>
        <v/>
      </c>
      <c r="K11" s="30"/>
      <c r="L11" s="30"/>
      <c r="M11" s="30"/>
      <c r="N11" s="34"/>
    </row>
    <row r="12" customFormat="false" ht="24" hidden="false" customHeight="true" outlineLevel="0" collapsed="false">
      <c r="A12" s="31"/>
      <c r="B12" s="30"/>
      <c r="C12" s="37" t="str">
        <f aca="false">IF($B12="","",IFERROR(INDEX('Fragrance Projects'!$C$5:$C$64,MATCH($B12,'Fragrance Projects'!$A$5:$A$64,0)),""))</f>
        <v/>
      </c>
      <c r="D12" s="37" t="str">
        <f aca="false">IF($B12="","",IFERROR(INDEX('Fragrance Projects'!$D$5:$D$64,MATCH($B12,'Fragrance Projects'!$A$5:$A$64,0)),""))</f>
        <v/>
      </c>
      <c r="E12" s="30"/>
      <c r="F12" s="30"/>
      <c r="G12" s="34"/>
      <c r="H12" s="30"/>
      <c r="I12" s="40"/>
      <c r="J12" s="42" t="str">
        <f aca="false">IF($H12="","",$H12*$I12)</f>
        <v/>
      </c>
      <c r="K12" s="30"/>
      <c r="L12" s="30"/>
      <c r="M12" s="30"/>
      <c r="N12" s="34"/>
    </row>
    <row r="13" customFormat="false" ht="24" hidden="false" customHeight="true" outlineLevel="0" collapsed="false">
      <c r="A13" s="31"/>
      <c r="B13" s="30"/>
      <c r="C13" s="37" t="str">
        <f aca="false">IF($B13="","",IFERROR(INDEX('Fragrance Projects'!$C$5:$C$64,MATCH($B13,'Fragrance Projects'!$A$5:$A$64,0)),""))</f>
        <v/>
      </c>
      <c r="D13" s="37" t="str">
        <f aca="false">IF($B13="","",IFERROR(INDEX('Fragrance Projects'!$D$5:$D$64,MATCH($B13,'Fragrance Projects'!$A$5:$A$64,0)),""))</f>
        <v/>
      </c>
      <c r="E13" s="30"/>
      <c r="F13" s="30"/>
      <c r="G13" s="34"/>
      <c r="H13" s="30"/>
      <c r="I13" s="40"/>
      <c r="J13" s="42" t="str">
        <f aca="false">IF($H13="","",$H13*$I13)</f>
        <v/>
      </c>
      <c r="K13" s="30"/>
      <c r="L13" s="30"/>
      <c r="M13" s="30"/>
      <c r="N13" s="34"/>
    </row>
    <row r="14" customFormat="false" ht="24" hidden="false" customHeight="true" outlineLevel="0" collapsed="false">
      <c r="A14" s="31"/>
      <c r="B14" s="30"/>
      <c r="C14" s="37" t="str">
        <f aca="false">IF($B14="","",IFERROR(INDEX('Fragrance Projects'!$C$5:$C$64,MATCH($B14,'Fragrance Projects'!$A$5:$A$64,0)),""))</f>
        <v/>
      </c>
      <c r="D14" s="37" t="str">
        <f aca="false">IF($B14="","",IFERROR(INDEX('Fragrance Projects'!$D$5:$D$64,MATCH($B14,'Fragrance Projects'!$A$5:$A$64,0)),""))</f>
        <v/>
      </c>
      <c r="E14" s="30"/>
      <c r="F14" s="30"/>
      <c r="G14" s="34"/>
      <c r="H14" s="30"/>
      <c r="I14" s="40"/>
      <c r="J14" s="42" t="str">
        <f aca="false">IF($H14="","",$H14*$I14)</f>
        <v/>
      </c>
      <c r="K14" s="30"/>
      <c r="L14" s="30"/>
      <c r="M14" s="30"/>
      <c r="N14" s="34"/>
    </row>
    <row r="15" customFormat="false" ht="24" hidden="false" customHeight="true" outlineLevel="0" collapsed="false">
      <c r="A15" s="31"/>
      <c r="B15" s="30"/>
      <c r="C15" s="37" t="str">
        <f aca="false">IF($B15="","",IFERROR(INDEX('Fragrance Projects'!$C$5:$C$64,MATCH($B15,'Fragrance Projects'!$A$5:$A$64,0)),""))</f>
        <v/>
      </c>
      <c r="D15" s="37" t="str">
        <f aca="false">IF($B15="","",IFERROR(INDEX('Fragrance Projects'!$D$5:$D$64,MATCH($B15,'Fragrance Projects'!$A$5:$A$64,0)),""))</f>
        <v/>
      </c>
      <c r="E15" s="30"/>
      <c r="F15" s="30"/>
      <c r="G15" s="34"/>
      <c r="H15" s="30"/>
      <c r="I15" s="40"/>
      <c r="J15" s="42" t="str">
        <f aca="false">IF($H15="","",$H15*$I15)</f>
        <v/>
      </c>
      <c r="K15" s="30"/>
      <c r="L15" s="30"/>
      <c r="M15" s="30"/>
      <c r="N15" s="34"/>
    </row>
    <row r="16" customFormat="false" ht="24" hidden="false" customHeight="true" outlineLevel="0" collapsed="false">
      <c r="A16" s="31"/>
      <c r="B16" s="30"/>
      <c r="C16" s="37" t="str">
        <f aca="false">IF($B16="","",IFERROR(INDEX('Fragrance Projects'!$C$5:$C$64,MATCH($B16,'Fragrance Projects'!$A$5:$A$64,0)),""))</f>
        <v/>
      </c>
      <c r="D16" s="37" t="str">
        <f aca="false">IF($B16="","",IFERROR(INDEX('Fragrance Projects'!$D$5:$D$64,MATCH($B16,'Fragrance Projects'!$A$5:$A$64,0)),""))</f>
        <v/>
      </c>
      <c r="E16" s="30"/>
      <c r="F16" s="30"/>
      <c r="G16" s="34"/>
      <c r="H16" s="30"/>
      <c r="I16" s="40"/>
      <c r="J16" s="42" t="str">
        <f aca="false">IF($H16="","",$H16*$I16)</f>
        <v/>
      </c>
      <c r="K16" s="30"/>
      <c r="L16" s="30"/>
      <c r="M16" s="30"/>
      <c r="N16" s="34"/>
    </row>
    <row r="17" customFormat="false" ht="24" hidden="false" customHeight="true" outlineLevel="0" collapsed="false">
      <c r="A17" s="31"/>
      <c r="B17" s="30"/>
      <c r="C17" s="37" t="str">
        <f aca="false">IF($B17="","",IFERROR(INDEX('Fragrance Projects'!$C$5:$C$64,MATCH($B17,'Fragrance Projects'!$A$5:$A$64,0)),""))</f>
        <v/>
      </c>
      <c r="D17" s="37" t="str">
        <f aca="false">IF($B17="","",IFERROR(INDEX('Fragrance Projects'!$D$5:$D$64,MATCH($B17,'Fragrance Projects'!$A$5:$A$64,0)),""))</f>
        <v/>
      </c>
      <c r="E17" s="30"/>
      <c r="F17" s="30"/>
      <c r="G17" s="34"/>
      <c r="H17" s="30"/>
      <c r="I17" s="40"/>
      <c r="J17" s="42" t="str">
        <f aca="false">IF($H17="","",$H17*$I17)</f>
        <v/>
      </c>
      <c r="K17" s="30"/>
      <c r="L17" s="30"/>
      <c r="M17" s="30"/>
      <c r="N17" s="34"/>
    </row>
    <row r="18" customFormat="false" ht="24" hidden="false" customHeight="true" outlineLevel="0" collapsed="false">
      <c r="A18" s="31"/>
      <c r="B18" s="30"/>
      <c r="C18" s="37" t="str">
        <f aca="false">IF($B18="","",IFERROR(INDEX('Fragrance Projects'!$C$5:$C$64,MATCH($B18,'Fragrance Projects'!$A$5:$A$64,0)),""))</f>
        <v/>
      </c>
      <c r="D18" s="37" t="str">
        <f aca="false">IF($B18="","",IFERROR(INDEX('Fragrance Projects'!$D$5:$D$64,MATCH($B18,'Fragrance Projects'!$A$5:$A$64,0)),""))</f>
        <v/>
      </c>
      <c r="E18" s="30"/>
      <c r="F18" s="30"/>
      <c r="G18" s="34"/>
      <c r="H18" s="30"/>
      <c r="I18" s="40"/>
      <c r="J18" s="42" t="str">
        <f aca="false">IF($H18="","",$H18*$I18)</f>
        <v/>
      </c>
      <c r="K18" s="30"/>
      <c r="L18" s="30"/>
      <c r="M18" s="30"/>
      <c r="N18" s="34"/>
    </row>
    <row r="19" customFormat="false" ht="24" hidden="false" customHeight="true" outlineLevel="0" collapsed="false">
      <c r="A19" s="31"/>
      <c r="B19" s="30"/>
      <c r="C19" s="37" t="str">
        <f aca="false">IF($B19="","",IFERROR(INDEX('Fragrance Projects'!$C$5:$C$64,MATCH($B19,'Fragrance Projects'!$A$5:$A$64,0)),""))</f>
        <v/>
      </c>
      <c r="D19" s="37" t="str">
        <f aca="false">IF($B19="","",IFERROR(INDEX('Fragrance Projects'!$D$5:$D$64,MATCH($B19,'Fragrance Projects'!$A$5:$A$64,0)),""))</f>
        <v/>
      </c>
      <c r="E19" s="30"/>
      <c r="F19" s="30"/>
      <c r="G19" s="34"/>
      <c r="H19" s="30"/>
      <c r="I19" s="40"/>
      <c r="J19" s="42" t="str">
        <f aca="false">IF($H19="","",$H19*$I19)</f>
        <v/>
      </c>
      <c r="K19" s="30"/>
      <c r="L19" s="30"/>
      <c r="M19" s="30"/>
      <c r="N19" s="34"/>
    </row>
    <row r="20" customFormat="false" ht="24" hidden="false" customHeight="true" outlineLevel="0" collapsed="false">
      <c r="A20" s="31"/>
      <c r="B20" s="30"/>
      <c r="C20" s="37" t="str">
        <f aca="false">IF($B20="","",IFERROR(INDEX('Fragrance Projects'!$C$5:$C$64,MATCH($B20,'Fragrance Projects'!$A$5:$A$64,0)),""))</f>
        <v/>
      </c>
      <c r="D20" s="37" t="str">
        <f aca="false">IF($B20="","",IFERROR(INDEX('Fragrance Projects'!$D$5:$D$64,MATCH($B20,'Fragrance Projects'!$A$5:$A$64,0)),""))</f>
        <v/>
      </c>
      <c r="E20" s="30"/>
      <c r="F20" s="30"/>
      <c r="G20" s="34"/>
      <c r="H20" s="30"/>
      <c r="I20" s="40"/>
      <c r="J20" s="42" t="str">
        <f aca="false">IF($H20="","",$H20*$I20)</f>
        <v/>
      </c>
      <c r="K20" s="30"/>
      <c r="L20" s="30"/>
      <c r="M20" s="30"/>
      <c r="N20" s="34"/>
    </row>
    <row r="21" customFormat="false" ht="24" hidden="false" customHeight="true" outlineLevel="0" collapsed="false">
      <c r="A21" s="31"/>
      <c r="B21" s="30"/>
      <c r="C21" s="37" t="str">
        <f aca="false">IF($B21="","",IFERROR(INDEX('Fragrance Projects'!$C$5:$C$64,MATCH($B21,'Fragrance Projects'!$A$5:$A$64,0)),""))</f>
        <v/>
      </c>
      <c r="D21" s="37" t="str">
        <f aca="false">IF($B21="","",IFERROR(INDEX('Fragrance Projects'!$D$5:$D$64,MATCH($B21,'Fragrance Projects'!$A$5:$A$64,0)),""))</f>
        <v/>
      </c>
      <c r="E21" s="30"/>
      <c r="F21" s="30"/>
      <c r="G21" s="34"/>
      <c r="H21" s="30"/>
      <c r="I21" s="40"/>
      <c r="J21" s="42" t="str">
        <f aca="false">IF($H21="","",$H21*$I21)</f>
        <v/>
      </c>
      <c r="K21" s="30"/>
      <c r="L21" s="30"/>
      <c r="M21" s="30"/>
      <c r="N21" s="34"/>
    </row>
    <row r="22" customFormat="false" ht="24" hidden="false" customHeight="true" outlineLevel="0" collapsed="false">
      <c r="A22" s="31"/>
      <c r="B22" s="30"/>
      <c r="C22" s="37" t="str">
        <f aca="false">IF($B22="","",IFERROR(INDEX('Fragrance Projects'!$C$5:$C$64,MATCH($B22,'Fragrance Projects'!$A$5:$A$64,0)),""))</f>
        <v/>
      </c>
      <c r="D22" s="37" t="str">
        <f aca="false">IF($B22="","",IFERROR(INDEX('Fragrance Projects'!$D$5:$D$64,MATCH($B22,'Fragrance Projects'!$A$5:$A$64,0)),""))</f>
        <v/>
      </c>
      <c r="E22" s="30"/>
      <c r="F22" s="30"/>
      <c r="G22" s="34"/>
      <c r="H22" s="30"/>
      <c r="I22" s="40"/>
      <c r="J22" s="42" t="str">
        <f aca="false">IF($H22="","",$H22*$I22)</f>
        <v/>
      </c>
      <c r="K22" s="30"/>
      <c r="L22" s="30"/>
      <c r="M22" s="30"/>
      <c r="N22" s="34"/>
    </row>
    <row r="23" customFormat="false" ht="24" hidden="false" customHeight="true" outlineLevel="0" collapsed="false">
      <c r="A23" s="31"/>
      <c r="B23" s="30"/>
      <c r="C23" s="37" t="str">
        <f aca="false">IF($B23="","",IFERROR(INDEX('Fragrance Projects'!$C$5:$C$64,MATCH($B23,'Fragrance Projects'!$A$5:$A$64,0)),""))</f>
        <v/>
      </c>
      <c r="D23" s="37" t="str">
        <f aca="false">IF($B23="","",IFERROR(INDEX('Fragrance Projects'!$D$5:$D$64,MATCH($B23,'Fragrance Projects'!$A$5:$A$64,0)),""))</f>
        <v/>
      </c>
      <c r="E23" s="30"/>
      <c r="F23" s="30"/>
      <c r="G23" s="34"/>
      <c r="H23" s="30"/>
      <c r="I23" s="40"/>
      <c r="J23" s="42" t="str">
        <f aca="false">IF($H23="","",$H23*$I23)</f>
        <v/>
      </c>
      <c r="K23" s="30"/>
      <c r="L23" s="30"/>
      <c r="M23" s="30"/>
      <c r="N23" s="34"/>
    </row>
    <row r="24" customFormat="false" ht="24" hidden="false" customHeight="true" outlineLevel="0" collapsed="false">
      <c r="A24" s="31"/>
      <c r="B24" s="30"/>
      <c r="C24" s="37" t="str">
        <f aca="false">IF($B24="","",IFERROR(INDEX('Fragrance Projects'!$C$5:$C$64,MATCH($B24,'Fragrance Projects'!$A$5:$A$64,0)),""))</f>
        <v/>
      </c>
      <c r="D24" s="37" t="str">
        <f aca="false">IF($B24="","",IFERROR(INDEX('Fragrance Projects'!$D$5:$D$64,MATCH($B24,'Fragrance Projects'!$A$5:$A$64,0)),""))</f>
        <v/>
      </c>
      <c r="E24" s="30"/>
      <c r="F24" s="30"/>
      <c r="G24" s="34"/>
      <c r="H24" s="30"/>
      <c r="I24" s="40"/>
      <c r="J24" s="42" t="str">
        <f aca="false">IF($H24="","",$H24*$I24)</f>
        <v/>
      </c>
      <c r="K24" s="30"/>
      <c r="L24" s="30"/>
      <c r="M24" s="30"/>
      <c r="N24" s="34"/>
    </row>
    <row r="25" customFormat="false" ht="24" hidden="false" customHeight="true" outlineLevel="0" collapsed="false">
      <c r="A25" s="31"/>
      <c r="B25" s="30"/>
      <c r="C25" s="37" t="str">
        <f aca="false">IF($B25="","",IFERROR(INDEX('Fragrance Projects'!$C$5:$C$64,MATCH($B25,'Fragrance Projects'!$A$5:$A$64,0)),""))</f>
        <v/>
      </c>
      <c r="D25" s="37" t="str">
        <f aca="false">IF($B25="","",IFERROR(INDEX('Fragrance Projects'!$D$5:$D$64,MATCH($B25,'Fragrance Projects'!$A$5:$A$64,0)),""))</f>
        <v/>
      </c>
      <c r="E25" s="30"/>
      <c r="F25" s="30"/>
      <c r="G25" s="34"/>
      <c r="H25" s="30"/>
      <c r="I25" s="40"/>
      <c r="J25" s="42" t="str">
        <f aca="false">IF($H25="","",$H25*$I25)</f>
        <v/>
      </c>
      <c r="K25" s="30"/>
      <c r="L25" s="30"/>
      <c r="M25" s="30"/>
      <c r="N25" s="34"/>
    </row>
    <row r="26" customFormat="false" ht="24" hidden="false" customHeight="true" outlineLevel="0" collapsed="false">
      <c r="A26" s="31"/>
      <c r="B26" s="30"/>
      <c r="C26" s="37" t="str">
        <f aca="false">IF($B26="","",IFERROR(INDEX('Fragrance Projects'!$C$5:$C$64,MATCH($B26,'Fragrance Projects'!$A$5:$A$64,0)),""))</f>
        <v/>
      </c>
      <c r="D26" s="37" t="str">
        <f aca="false">IF($B26="","",IFERROR(INDEX('Fragrance Projects'!$D$5:$D$64,MATCH($B26,'Fragrance Projects'!$A$5:$A$64,0)),""))</f>
        <v/>
      </c>
      <c r="E26" s="30"/>
      <c r="F26" s="30"/>
      <c r="G26" s="34"/>
      <c r="H26" s="30"/>
      <c r="I26" s="40"/>
      <c r="J26" s="42" t="str">
        <f aca="false">IF($H26="","",$H26*$I26)</f>
        <v/>
      </c>
      <c r="K26" s="30"/>
      <c r="L26" s="30"/>
      <c r="M26" s="30"/>
      <c r="N26" s="34"/>
    </row>
    <row r="27" customFormat="false" ht="24" hidden="false" customHeight="true" outlineLevel="0" collapsed="false">
      <c r="A27" s="31"/>
      <c r="B27" s="30"/>
      <c r="C27" s="37" t="str">
        <f aca="false">IF($B27="","",IFERROR(INDEX('Fragrance Projects'!$C$5:$C$64,MATCH($B27,'Fragrance Projects'!$A$5:$A$64,0)),""))</f>
        <v/>
      </c>
      <c r="D27" s="37" t="str">
        <f aca="false">IF($B27="","",IFERROR(INDEX('Fragrance Projects'!$D$5:$D$64,MATCH($B27,'Fragrance Projects'!$A$5:$A$64,0)),""))</f>
        <v/>
      </c>
      <c r="E27" s="30"/>
      <c r="F27" s="30"/>
      <c r="G27" s="34"/>
      <c r="H27" s="30"/>
      <c r="I27" s="40"/>
      <c r="J27" s="42" t="str">
        <f aca="false">IF($H27="","",$H27*$I27)</f>
        <v/>
      </c>
      <c r="K27" s="30"/>
      <c r="L27" s="30"/>
      <c r="M27" s="30"/>
      <c r="N27" s="34"/>
    </row>
    <row r="28" customFormat="false" ht="24" hidden="false" customHeight="true" outlineLevel="0" collapsed="false">
      <c r="A28" s="31"/>
      <c r="B28" s="30"/>
      <c r="C28" s="37" t="str">
        <f aca="false">IF($B28="","",IFERROR(INDEX('Fragrance Projects'!$C$5:$C$64,MATCH($B28,'Fragrance Projects'!$A$5:$A$64,0)),""))</f>
        <v/>
      </c>
      <c r="D28" s="37" t="str">
        <f aca="false">IF($B28="","",IFERROR(INDEX('Fragrance Projects'!$D$5:$D$64,MATCH($B28,'Fragrance Projects'!$A$5:$A$64,0)),""))</f>
        <v/>
      </c>
      <c r="E28" s="30"/>
      <c r="F28" s="30"/>
      <c r="G28" s="34"/>
      <c r="H28" s="30"/>
      <c r="I28" s="40"/>
      <c r="J28" s="42" t="str">
        <f aca="false">IF($H28="","",$H28*$I28)</f>
        <v/>
      </c>
      <c r="K28" s="30"/>
      <c r="L28" s="30"/>
      <c r="M28" s="30"/>
      <c r="N28" s="34"/>
    </row>
    <row r="29" customFormat="false" ht="24" hidden="false" customHeight="true" outlineLevel="0" collapsed="false">
      <c r="A29" s="31"/>
      <c r="B29" s="30"/>
      <c r="C29" s="37" t="str">
        <f aca="false">IF($B29="","",IFERROR(INDEX('Fragrance Projects'!$C$5:$C$64,MATCH($B29,'Fragrance Projects'!$A$5:$A$64,0)),""))</f>
        <v/>
      </c>
      <c r="D29" s="37" t="str">
        <f aca="false">IF($B29="","",IFERROR(INDEX('Fragrance Projects'!$D$5:$D$64,MATCH($B29,'Fragrance Projects'!$A$5:$A$64,0)),""))</f>
        <v/>
      </c>
      <c r="E29" s="30"/>
      <c r="F29" s="30"/>
      <c r="G29" s="34"/>
      <c r="H29" s="30"/>
      <c r="I29" s="40"/>
      <c r="J29" s="42" t="str">
        <f aca="false">IF($H29="","",$H29*$I29)</f>
        <v/>
      </c>
      <c r="K29" s="30"/>
      <c r="L29" s="30"/>
      <c r="M29" s="30"/>
      <c r="N29" s="34"/>
    </row>
    <row r="30" customFormat="false" ht="24" hidden="false" customHeight="true" outlineLevel="0" collapsed="false">
      <c r="A30" s="31"/>
      <c r="B30" s="30"/>
      <c r="C30" s="37" t="str">
        <f aca="false">IF($B30="","",IFERROR(INDEX('Fragrance Projects'!$C$5:$C$64,MATCH($B30,'Fragrance Projects'!$A$5:$A$64,0)),""))</f>
        <v/>
      </c>
      <c r="D30" s="37" t="str">
        <f aca="false">IF($B30="","",IFERROR(INDEX('Fragrance Projects'!$D$5:$D$64,MATCH($B30,'Fragrance Projects'!$A$5:$A$64,0)),""))</f>
        <v/>
      </c>
      <c r="E30" s="30"/>
      <c r="F30" s="30"/>
      <c r="G30" s="34"/>
      <c r="H30" s="30"/>
      <c r="I30" s="40"/>
      <c r="J30" s="42" t="str">
        <f aca="false">IF($H30="","",$H30*$I30)</f>
        <v/>
      </c>
      <c r="K30" s="30"/>
      <c r="L30" s="30"/>
      <c r="M30" s="30"/>
      <c r="N30" s="34"/>
    </row>
    <row r="31" customFormat="false" ht="24" hidden="false" customHeight="true" outlineLevel="0" collapsed="false">
      <c r="A31" s="31"/>
      <c r="B31" s="30"/>
      <c r="C31" s="37" t="str">
        <f aca="false">IF($B31="","",IFERROR(INDEX('Fragrance Projects'!$C$5:$C$64,MATCH($B31,'Fragrance Projects'!$A$5:$A$64,0)),""))</f>
        <v/>
      </c>
      <c r="D31" s="37" t="str">
        <f aca="false">IF($B31="","",IFERROR(INDEX('Fragrance Projects'!$D$5:$D$64,MATCH($B31,'Fragrance Projects'!$A$5:$A$64,0)),""))</f>
        <v/>
      </c>
      <c r="E31" s="30"/>
      <c r="F31" s="30"/>
      <c r="G31" s="34"/>
      <c r="H31" s="30"/>
      <c r="I31" s="40"/>
      <c r="J31" s="42" t="str">
        <f aca="false">IF($H31="","",$H31*$I31)</f>
        <v/>
      </c>
      <c r="K31" s="30"/>
      <c r="L31" s="30"/>
      <c r="M31" s="30"/>
      <c r="N31" s="34"/>
    </row>
    <row r="32" customFormat="false" ht="24" hidden="false" customHeight="true" outlineLevel="0" collapsed="false">
      <c r="A32" s="31"/>
      <c r="B32" s="30"/>
      <c r="C32" s="37" t="str">
        <f aca="false">IF($B32="","",IFERROR(INDEX('Fragrance Projects'!$C$5:$C$64,MATCH($B32,'Fragrance Projects'!$A$5:$A$64,0)),""))</f>
        <v/>
      </c>
      <c r="D32" s="37" t="str">
        <f aca="false">IF($B32="","",IFERROR(INDEX('Fragrance Projects'!$D$5:$D$64,MATCH($B32,'Fragrance Projects'!$A$5:$A$64,0)),""))</f>
        <v/>
      </c>
      <c r="E32" s="30"/>
      <c r="F32" s="30"/>
      <c r="G32" s="34"/>
      <c r="H32" s="30"/>
      <c r="I32" s="40"/>
      <c r="J32" s="42" t="str">
        <f aca="false">IF($H32="","",$H32*$I32)</f>
        <v/>
      </c>
      <c r="K32" s="30"/>
      <c r="L32" s="30"/>
      <c r="M32" s="30"/>
      <c r="N32" s="34"/>
    </row>
    <row r="33" customFormat="false" ht="24" hidden="false" customHeight="true" outlineLevel="0" collapsed="false">
      <c r="A33" s="31"/>
      <c r="B33" s="30"/>
      <c r="C33" s="37" t="str">
        <f aca="false">IF($B33="","",IFERROR(INDEX('Fragrance Projects'!$C$5:$C$64,MATCH($B33,'Fragrance Projects'!$A$5:$A$64,0)),""))</f>
        <v/>
      </c>
      <c r="D33" s="37" t="str">
        <f aca="false">IF($B33="","",IFERROR(INDEX('Fragrance Projects'!$D$5:$D$64,MATCH($B33,'Fragrance Projects'!$A$5:$A$64,0)),""))</f>
        <v/>
      </c>
      <c r="E33" s="30"/>
      <c r="F33" s="30"/>
      <c r="G33" s="34"/>
      <c r="H33" s="30"/>
      <c r="I33" s="40"/>
      <c r="J33" s="42" t="str">
        <f aca="false">IF($H33="","",$H33*$I33)</f>
        <v/>
      </c>
      <c r="K33" s="30"/>
      <c r="L33" s="30"/>
      <c r="M33" s="30"/>
      <c r="N33" s="34"/>
    </row>
    <row r="34" customFormat="false" ht="24" hidden="false" customHeight="true" outlineLevel="0" collapsed="false">
      <c r="A34" s="31"/>
      <c r="B34" s="30"/>
      <c r="C34" s="37" t="str">
        <f aca="false">IF($B34="","",IFERROR(INDEX('Fragrance Projects'!$C$5:$C$64,MATCH($B34,'Fragrance Projects'!$A$5:$A$64,0)),""))</f>
        <v/>
      </c>
      <c r="D34" s="37" t="str">
        <f aca="false">IF($B34="","",IFERROR(INDEX('Fragrance Projects'!$D$5:$D$64,MATCH($B34,'Fragrance Projects'!$A$5:$A$64,0)),""))</f>
        <v/>
      </c>
      <c r="E34" s="30"/>
      <c r="F34" s="30"/>
      <c r="G34" s="34"/>
      <c r="H34" s="30"/>
      <c r="I34" s="40"/>
      <c r="J34" s="42" t="str">
        <f aca="false">IF($H34="","",$H34*$I34)</f>
        <v/>
      </c>
      <c r="K34" s="30"/>
      <c r="L34" s="30"/>
      <c r="M34" s="30"/>
      <c r="N34" s="34"/>
    </row>
    <row r="35" customFormat="false" ht="24" hidden="false" customHeight="true" outlineLevel="0" collapsed="false">
      <c r="A35" s="31"/>
      <c r="B35" s="30"/>
      <c r="C35" s="37" t="str">
        <f aca="false">IF($B35="","",IFERROR(INDEX('Fragrance Projects'!$C$5:$C$64,MATCH($B35,'Fragrance Projects'!$A$5:$A$64,0)),""))</f>
        <v/>
      </c>
      <c r="D35" s="37" t="str">
        <f aca="false">IF($B35="","",IFERROR(INDEX('Fragrance Projects'!$D$5:$D$64,MATCH($B35,'Fragrance Projects'!$A$5:$A$64,0)),""))</f>
        <v/>
      </c>
      <c r="E35" s="30"/>
      <c r="F35" s="30"/>
      <c r="G35" s="34"/>
      <c r="H35" s="30"/>
      <c r="I35" s="40"/>
      <c r="J35" s="42" t="str">
        <f aca="false">IF($H35="","",$H35*$I35)</f>
        <v/>
      </c>
      <c r="K35" s="30"/>
      <c r="L35" s="30"/>
      <c r="M35" s="30"/>
      <c r="N35" s="34"/>
    </row>
    <row r="36" customFormat="false" ht="24" hidden="false" customHeight="true" outlineLevel="0" collapsed="false">
      <c r="A36" s="31"/>
      <c r="B36" s="30"/>
      <c r="C36" s="37" t="str">
        <f aca="false">IF($B36="","",IFERROR(INDEX('Fragrance Projects'!$C$5:$C$64,MATCH($B36,'Fragrance Projects'!$A$5:$A$64,0)),""))</f>
        <v/>
      </c>
      <c r="D36" s="37" t="str">
        <f aca="false">IF($B36="","",IFERROR(INDEX('Fragrance Projects'!$D$5:$D$64,MATCH($B36,'Fragrance Projects'!$A$5:$A$64,0)),""))</f>
        <v/>
      </c>
      <c r="E36" s="30"/>
      <c r="F36" s="30"/>
      <c r="G36" s="34"/>
      <c r="H36" s="30"/>
      <c r="I36" s="40"/>
      <c r="J36" s="42" t="str">
        <f aca="false">IF($H36="","",$H36*$I36)</f>
        <v/>
      </c>
      <c r="K36" s="30"/>
      <c r="L36" s="30"/>
      <c r="M36" s="30"/>
      <c r="N36" s="34"/>
    </row>
    <row r="37" customFormat="false" ht="24" hidden="false" customHeight="true" outlineLevel="0" collapsed="false">
      <c r="A37" s="31"/>
      <c r="B37" s="30"/>
      <c r="C37" s="37" t="str">
        <f aca="false">IF($B37="","",IFERROR(INDEX('Fragrance Projects'!$C$5:$C$64,MATCH($B37,'Fragrance Projects'!$A$5:$A$64,0)),""))</f>
        <v/>
      </c>
      <c r="D37" s="37" t="str">
        <f aca="false">IF($B37="","",IFERROR(INDEX('Fragrance Projects'!$D$5:$D$64,MATCH($B37,'Fragrance Projects'!$A$5:$A$64,0)),""))</f>
        <v/>
      </c>
      <c r="E37" s="30"/>
      <c r="F37" s="30"/>
      <c r="G37" s="34"/>
      <c r="H37" s="30"/>
      <c r="I37" s="40"/>
      <c r="J37" s="42" t="str">
        <f aca="false">IF($H37="","",$H37*$I37)</f>
        <v/>
      </c>
      <c r="K37" s="30"/>
      <c r="L37" s="30"/>
      <c r="M37" s="30"/>
      <c r="N37" s="34"/>
    </row>
    <row r="38" customFormat="false" ht="24" hidden="false" customHeight="true" outlineLevel="0" collapsed="false">
      <c r="A38" s="31"/>
      <c r="B38" s="30"/>
      <c r="C38" s="37" t="str">
        <f aca="false">IF($B38="","",IFERROR(INDEX('Fragrance Projects'!$C$5:$C$64,MATCH($B38,'Fragrance Projects'!$A$5:$A$64,0)),""))</f>
        <v/>
      </c>
      <c r="D38" s="37" t="str">
        <f aca="false">IF($B38="","",IFERROR(INDEX('Fragrance Projects'!$D$5:$D$64,MATCH($B38,'Fragrance Projects'!$A$5:$A$64,0)),""))</f>
        <v/>
      </c>
      <c r="E38" s="30"/>
      <c r="F38" s="30"/>
      <c r="G38" s="34"/>
      <c r="H38" s="30"/>
      <c r="I38" s="40"/>
      <c r="J38" s="42" t="str">
        <f aca="false">IF($H38="","",$H38*$I38)</f>
        <v/>
      </c>
      <c r="K38" s="30"/>
      <c r="L38" s="30"/>
      <c r="M38" s="30"/>
      <c r="N38" s="34"/>
    </row>
    <row r="39" customFormat="false" ht="24" hidden="false" customHeight="true" outlineLevel="0" collapsed="false">
      <c r="A39" s="31"/>
      <c r="B39" s="30"/>
      <c r="C39" s="37" t="str">
        <f aca="false">IF($B39="","",IFERROR(INDEX('Fragrance Projects'!$C$5:$C$64,MATCH($B39,'Fragrance Projects'!$A$5:$A$64,0)),""))</f>
        <v/>
      </c>
      <c r="D39" s="37" t="str">
        <f aca="false">IF($B39="","",IFERROR(INDEX('Fragrance Projects'!$D$5:$D$64,MATCH($B39,'Fragrance Projects'!$A$5:$A$64,0)),""))</f>
        <v/>
      </c>
      <c r="E39" s="30"/>
      <c r="F39" s="30"/>
      <c r="G39" s="34"/>
      <c r="H39" s="30"/>
      <c r="I39" s="40"/>
      <c r="J39" s="42" t="str">
        <f aca="false">IF($H39="","",$H39*$I39)</f>
        <v/>
      </c>
      <c r="K39" s="30"/>
      <c r="L39" s="30"/>
      <c r="M39" s="30"/>
      <c r="N39" s="34"/>
    </row>
    <row r="40" customFormat="false" ht="24" hidden="false" customHeight="true" outlineLevel="0" collapsed="false">
      <c r="A40" s="31"/>
      <c r="B40" s="30"/>
      <c r="C40" s="37" t="str">
        <f aca="false">IF($B40="","",IFERROR(INDEX('Fragrance Projects'!$C$5:$C$64,MATCH($B40,'Fragrance Projects'!$A$5:$A$64,0)),""))</f>
        <v/>
      </c>
      <c r="D40" s="37" t="str">
        <f aca="false">IF($B40="","",IFERROR(INDEX('Fragrance Projects'!$D$5:$D$64,MATCH($B40,'Fragrance Projects'!$A$5:$A$64,0)),""))</f>
        <v/>
      </c>
      <c r="E40" s="30"/>
      <c r="F40" s="30"/>
      <c r="G40" s="34"/>
      <c r="H40" s="30"/>
      <c r="I40" s="40"/>
      <c r="J40" s="42" t="str">
        <f aca="false">IF($H40="","",$H40*$I40)</f>
        <v/>
      </c>
      <c r="K40" s="30"/>
      <c r="L40" s="30"/>
      <c r="M40" s="30"/>
      <c r="N40" s="34"/>
    </row>
    <row r="41" customFormat="false" ht="24" hidden="false" customHeight="true" outlineLevel="0" collapsed="false">
      <c r="A41" s="31"/>
      <c r="B41" s="30"/>
      <c r="C41" s="37" t="str">
        <f aca="false">IF($B41="","",IFERROR(INDEX('Fragrance Projects'!$C$5:$C$64,MATCH($B41,'Fragrance Projects'!$A$5:$A$64,0)),""))</f>
        <v/>
      </c>
      <c r="D41" s="37" t="str">
        <f aca="false">IF($B41="","",IFERROR(INDEX('Fragrance Projects'!$D$5:$D$64,MATCH($B41,'Fragrance Projects'!$A$5:$A$64,0)),""))</f>
        <v/>
      </c>
      <c r="E41" s="30"/>
      <c r="F41" s="30"/>
      <c r="G41" s="34"/>
      <c r="H41" s="30"/>
      <c r="I41" s="40"/>
      <c r="J41" s="42" t="str">
        <f aca="false">IF($H41="","",$H41*$I41)</f>
        <v/>
      </c>
      <c r="K41" s="30"/>
      <c r="L41" s="30"/>
      <c r="M41" s="30"/>
      <c r="N41" s="34"/>
    </row>
    <row r="42" customFormat="false" ht="24" hidden="false" customHeight="true" outlineLevel="0" collapsed="false">
      <c r="A42" s="31"/>
      <c r="B42" s="30"/>
      <c r="C42" s="37" t="str">
        <f aca="false">IF($B42="","",IFERROR(INDEX('Fragrance Projects'!$C$5:$C$64,MATCH($B42,'Fragrance Projects'!$A$5:$A$64,0)),""))</f>
        <v/>
      </c>
      <c r="D42" s="37" t="str">
        <f aca="false">IF($B42="","",IFERROR(INDEX('Fragrance Projects'!$D$5:$D$64,MATCH($B42,'Fragrance Projects'!$A$5:$A$64,0)),""))</f>
        <v/>
      </c>
      <c r="E42" s="30"/>
      <c r="F42" s="30"/>
      <c r="G42" s="34"/>
      <c r="H42" s="30"/>
      <c r="I42" s="40"/>
      <c r="J42" s="42" t="str">
        <f aca="false">IF($H42="","",$H42*$I42)</f>
        <v/>
      </c>
      <c r="K42" s="30"/>
      <c r="L42" s="30"/>
      <c r="M42" s="30"/>
      <c r="N42" s="34"/>
    </row>
    <row r="43" customFormat="false" ht="24" hidden="false" customHeight="true" outlineLevel="0" collapsed="false">
      <c r="A43" s="31"/>
      <c r="B43" s="30"/>
      <c r="C43" s="37" t="str">
        <f aca="false">IF($B43="","",IFERROR(INDEX('Fragrance Projects'!$C$5:$C$64,MATCH($B43,'Fragrance Projects'!$A$5:$A$64,0)),""))</f>
        <v/>
      </c>
      <c r="D43" s="37" t="str">
        <f aca="false">IF($B43="","",IFERROR(INDEX('Fragrance Projects'!$D$5:$D$64,MATCH($B43,'Fragrance Projects'!$A$5:$A$64,0)),""))</f>
        <v/>
      </c>
      <c r="E43" s="30"/>
      <c r="F43" s="30"/>
      <c r="G43" s="34"/>
      <c r="H43" s="30"/>
      <c r="I43" s="40"/>
      <c r="J43" s="42" t="str">
        <f aca="false">IF($H43="","",$H43*$I43)</f>
        <v/>
      </c>
      <c r="K43" s="30"/>
      <c r="L43" s="30"/>
      <c r="M43" s="30"/>
      <c r="N43" s="34"/>
    </row>
    <row r="44" customFormat="false" ht="24" hidden="false" customHeight="true" outlineLevel="0" collapsed="false">
      <c r="A44" s="31"/>
      <c r="B44" s="30"/>
      <c r="C44" s="37" t="str">
        <f aca="false">IF($B44="","",IFERROR(INDEX('Fragrance Projects'!$C$5:$C$64,MATCH($B44,'Fragrance Projects'!$A$5:$A$64,0)),""))</f>
        <v/>
      </c>
      <c r="D44" s="37" t="str">
        <f aca="false">IF($B44="","",IFERROR(INDEX('Fragrance Projects'!$D$5:$D$64,MATCH($B44,'Fragrance Projects'!$A$5:$A$64,0)),""))</f>
        <v/>
      </c>
      <c r="E44" s="30"/>
      <c r="F44" s="30"/>
      <c r="G44" s="34"/>
      <c r="H44" s="30"/>
      <c r="I44" s="40"/>
      <c r="J44" s="42" t="str">
        <f aca="false">IF($H44="","",$H44*$I44)</f>
        <v/>
      </c>
      <c r="K44" s="30"/>
      <c r="L44" s="30"/>
      <c r="M44" s="30"/>
      <c r="N44" s="34"/>
    </row>
    <row r="45" customFormat="false" ht="24" hidden="false" customHeight="true" outlineLevel="0" collapsed="false">
      <c r="A45" s="31"/>
      <c r="B45" s="30"/>
      <c r="C45" s="37" t="str">
        <f aca="false">IF($B45="","",IFERROR(INDEX('Fragrance Projects'!$C$5:$C$64,MATCH($B45,'Fragrance Projects'!$A$5:$A$64,0)),""))</f>
        <v/>
      </c>
      <c r="D45" s="37" t="str">
        <f aca="false">IF($B45="","",IFERROR(INDEX('Fragrance Projects'!$D$5:$D$64,MATCH($B45,'Fragrance Projects'!$A$5:$A$64,0)),""))</f>
        <v/>
      </c>
      <c r="E45" s="30"/>
      <c r="F45" s="30"/>
      <c r="G45" s="34"/>
      <c r="H45" s="30"/>
      <c r="I45" s="40"/>
      <c r="J45" s="42" t="str">
        <f aca="false">IF($H45="","",$H45*$I45)</f>
        <v/>
      </c>
      <c r="K45" s="30"/>
      <c r="L45" s="30"/>
      <c r="M45" s="30"/>
      <c r="N45" s="34"/>
    </row>
    <row r="46" customFormat="false" ht="24" hidden="false" customHeight="true" outlineLevel="0" collapsed="false">
      <c r="A46" s="31"/>
      <c r="B46" s="30"/>
      <c r="C46" s="37" t="str">
        <f aca="false">IF($B46="","",IFERROR(INDEX('Fragrance Projects'!$C$5:$C$64,MATCH($B46,'Fragrance Projects'!$A$5:$A$64,0)),""))</f>
        <v/>
      </c>
      <c r="D46" s="37" t="str">
        <f aca="false">IF($B46="","",IFERROR(INDEX('Fragrance Projects'!$D$5:$D$64,MATCH($B46,'Fragrance Projects'!$A$5:$A$64,0)),""))</f>
        <v/>
      </c>
      <c r="E46" s="30"/>
      <c r="F46" s="30"/>
      <c r="G46" s="34"/>
      <c r="H46" s="30"/>
      <c r="I46" s="40"/>
      <c r="J46" s="42" t="str">
        <f aca="false">IF($H46="","",$H46*$I46)</f>
        <v/>
      </c>
      <c r="K46" s="30"/>
      <c r="L46" s="30"/>
      <c r="M46" s="30"/>
      <c r="N46" s="34"/>
    </row>
    <row r="47" customFormat="false" ht="24" hidden="false" customHeight="true" outlineLevel="0" collapsed="false">
      <c r="A47" s="31"/>
      <c r="B47" s="30"/>
      <c r="C47" s="37" t="str">
        <f aca="false">IF($B47="","",IFERROR(INDEX('Fragrance Projects'!$C$5:$C$64,MATCH($B47,'Fragrance Projects'!$A$5:$A$64,0)),""))</f>
        <v/>
      </c>
      <c r="D47" s="37" t="str">
        <f aca="false">IF($B47="","",IFERROR(INDEX('Fragrance Projects'!$D$5:$D$64,MATCH($B47,'Fragrance Projects'!$A$5:$A$64,0)),""))</f>
        <v/>
      </c>
      <c r="E47" s="30"/>
      <c r="F47" s="30"/>
      <c r="G47" s="34"/>
      <c r="H47" s="30"/>
      <c r="I47" s="40"/>
      <c r="J47" s="42" t="str">
        <f aca="false">IF($H47="","",$H47*$I47)</f>
        <v/>
      </c>
      <c r="K47" s="30"/>
      <c r="L47" s="30"/>
      <c r="M47" s="30"/>
      <c r="N47" s="34"/>
    </row>
    <row r="48" customFormat="false" ht="24" hidden="false" customHeight="true" outlineLevel="0" collapsed="false">
      <c r="A48" s="31"/>
      <c r="B48" s="30"/>
      <c r="C48" s="37" t="str">
        <f aca="false">IF($B48="","",IFERROR(INDEX('Fragrance Projects'!$C$5:$C$64,MATCH($B48,'Fragrance Projects'!$A$5:$A$64,0)),""))</f>
        <v/>
      </c>
      <c r="D48" s="37" t="str">
        <f aca="false">IF($B48="","",IFERROR(INDEX('Fragrance Projects'!$D$5:$D$64,MATCH($B48,'Fragrance Projects'!$A$5:$A$64,0)),""))</f>
        <v/>
      </c>
      <c r="E48" s="30"/>
      <c r="F48" s="30"/>
      <c r="G48" s="34"/>
      <c r="H48" s="30"/>
      <c r="I48" s="40"/>
      <c r="J48" s="42" t="str">
        <f aca="false">IF($H48="","",$H48*$I48)</f>
        <v/>
      </c>
      <c r="K48" s="30"/>
      <c r="L48" s="30"/>
      <c r="M48" s="30"/>
      <c r="N48" s="34"/>
    </row>
    <row r="49" customFormat="false" ht="24" hidden="false" customHeight="true" outlineLevel="0" collapsed="false">
      <c r="A49" s="31"/>
      <c r="B49" s="30"/>
      <c r="C49" s="37" t="str">
        <f aca="false">IF($B49="","",IFERROR(INDEX('Fragrance Projects'!$C$5:$C$64,MATCH($B49,'Fragrance Projects'!$A$5:$A$64,0)),""))</f>
        <v/>
      </c>
      <c r="D49" s="37" t="str">
        <f aca="false">IF($B49="","",IFERROR(INDEX('Fragrance Projects'!$D$5:$D$64,MATCH($B49,'Fragrance Projects'!$A$5:$A$64,0)),""))</f>
        <v/>
      </c>
      <c r="E49" s="30"/>
      <c r="F49" s="30"/>
      <c r="G49" s="34"/>
      <c r="H49" s="30"/>
      <c r="I49" s="40"/>
      <c r="J49" s="42" t="str">
        <f aca="false">IF($H49="","",$H49*$I49)</f>
        <v/>
      </c>
      <c r="K49" s="30"/>
      <c r="L49" s="30"/>
      <c r="M49" s="30"/>
      <c r="N49" s="34"/>
    </row>
    <row r="50" customFormat="false" ht="24" hidden="false" customHeight="true" outlineLevel="0" collapsed="false">
      <c r="A50" s="31"/>
      <c r="B50" s="30"/>
      <c r="C50" s="37" t="str">
        <f aca="false">IF($B50="","",IFERROR(INDEX('Fragrance Projects'!$C$5:$C$64,MATCH($B50,'Fragrance Projects'!$A$5:$A$64,0)),""))</f>
        <v/>
      </c>
      <c r="D50" s="37" t="str">
        <f aca="false">IF($B50="","",IFERROR(INDEX('Fragrance Projects'!$D$5:$D$64,MATCH($B50,'Fragrance Projects'!$A$5:$A$64,0)),""))</f>
        <v/>
      </c>
      <c r="E50" s="30"/>
      <c r="F50" s="30"/>
      <c r="G50" s="34"/>
      <c r="H50" s="30"/>
      <c r="I50" s="40"/>
      <c r="J50" s="42" t="str">
        <f aca="false">IF($H50="","",$H50*$I50)</f>
        <v/>
      </c>
      <c r="K50" s="30"/>
      <c r="L50" s="30"/>
      <c r="M50" s="30"/>
      <c r="N50" s="34"/>
    </row>
    <row r="51" customFormat="false" ht="24" hidden="false" customHeight="true" outlineLevel="0" collapsed="false">
      <c r="A51" s="31"/>
      <c r="B51" s="30"/>
      <c r="C51" s="37" t="str">
        <f aca="false">IF($B51="","",IFERROR(INDEX('Fragrance Projects'!$C$5:$C$64,MATCH($B51,'Fragrance Projects'!$A$5:$A$64,0)),""))</f>
        <v/>
      </c>
      <c r="D51" s="37" t="str">
        <f aca="false">IF($B51="","",IFERROR(INDEX('Fragrance Projects'!$D$5:$D$64,MATCH($B51,'Fragrance Projects'!$A$5:$A$64,0)),""))</f>
        <v/>
      </c>
      <c r="E51" s="30"/>
      <c r="F51" s="30"/>
      <c r="G51" s="34"/>
      <c r="H51" s="30"/>
      <c r="I51" s="40"/>
      <c r="J51" s="42" t="str">
        <f aca="false">IF($H51="","",$H51*$I51)</f>
        <v/>
      </c>
      <c r="K51" s="30"/>
      <c r="L51" s="30"/>
      <c r="M51" s="30"/>
      <c r="N51" s="34"/>
    </row>
    <row r="52" customFormat="false" ht="24" hidden="false" customHeight="true" outlineLevel="0" collapsed="false">
      <c r="A52" s="31"/>
      <c r="B52" s="30"/>
      <c r="C52" s="37" t="str">
        <f aca="false">IF($B52="","",IFERROR(INDEX('Fragrance Projects'!$C$5:$C$64,MATCH($B52,'Fragrance Projects'!$A$5:$A$64,0)),""))</f>
        <v/>
      </c>
      <c r="D52" s="37" t="str">
        <f aca="false">IF($B52="","",IFERROR(INDEX('Fragrance Projects'!$D$5:$D$64,MATCH($B52,'Fragrance Projects'!$A$5:$A$64,0)),""))</f>
        <v/>
      </c>
      <c r="E52" s="30"/>
      <c r="F52" s="30"/>
      <c r="G52" s="34"/>
      <c r="H52" s="30"/>
      <c r="I52" s="40"/>
      <c r="J52" s="42" t="str">
        <f aca="false">IF($H52="","",$H52*$I52)</f>
        <v/>
      </c>
      <c r="K52" s="30"/>
      <c r="L52" s="30"/>
      <c r="M52" s="30"/>
      <c r="N52" s="34"/>
    </row>
    <row r="53" customFormat="false" ht="24" hidden="false" customHeight="true" outlineLevel="0" collapsed="false">
      <c r="A53" s="31"/>
      <c r="B53" s="30"/>
      <c r="C53" s="37" t="str">
        <f aca="false">IF($B53="","",IFERROR(INDEX('Fragrance Projects'!$C$5:$C$64,MATCH($B53,'Fragrance Projects'!$A$5:$A$64,0)),""))</f>
        <v/>
      </c>
      <c r="D53" s="37" t="str">
        <f aca="false">IF($B53="","",IFERROR(INDEX('Fragrance Projects'!$D$5:$D$64,MATCH($B53,'Fragrance Projects'!$A$5:$A$64,0)),""))</f>
        <v/>
      </c>
      <c r="E53" s="30"/>
      <c r="F53" s="30"/>
      <c r="G53" s="34"/>
      <c r="H53" s="30"/>
      <c r="I53" s="40"/>
      <c r="J53" s="42" t="str">
        <f aca="false">IF($H53="","",$H53*$I53)</f>
        <v/>
      </c>
      <c r="K53" s="30"/>
      <c r="L53" s="30"/>
      <c r="M53" s="30"/>
      <c r="N53" s="34"/>
    </row>
    <row r="54" customFormat="false" ht="24" hidden="false" customHeight="true" outlineLevel="0" collapsed="false">
      <c r="A54" s="31"/>
      <c r="B54" s="30"/>
      <c r="C54" s="37" t="str">
        <f aca="false">IF($B54="","",IFERROR(INDEX('Fragrance Projects'!$C$5:$C$64,MATCH($B54,'Fragrance Projects'!$A$5:$A$64,0)),""))</f>
        <v/>
      </c>
      <c r="D54" s="37" t="str">
        <f aca="false">IF($B54="","",IFERROR(INDEX('Fragrance Projects'!$D$5:$D$64,MATCH($B54,'Fragrance Projects'!$A$5:$A$64,0)),""))</f>
        <v/>
      </c>
      <c r="E54" s="30"/>
      <c r="F54" s="30"/>
      <c r="G54" s="34"/>
      <c r="H54" s="30"/>
      <c r="I54" s="40"/>
      <c r="J54" s="42" t="str">
        <f aca="false">IF($H54="","",$H54*$I54)</f>
        <v/>
      </c>
      <c r="K54" s="30"/>
      <c r="L54" s="30"/>
      <c r="M54" s="30"/>
      <c r="N54" s="34"/>
    </row>
    <row r="55" customFormat="false" ht="24" hidden="false" customHeight="true" outlineLevel="0" collapsed="false">
      <c r="A55" s="31"/>
      <c r="B55" s="30"/>
      <c r="C55" s="37" t="str">
        <f aca="false">IF($B55="","",IFERROR(INDEX('Fragrance Projects'!$C$5:$C$64,MATCH($B55,'Fragrance Projects'!$A$5:$A$64,0)),""))</f>
        <v/>
      </c>
      <c r="D55" s="37" t="str">
        <f aca="false">IF($B55="","",IFERROR(INDEX('Fragrance Projects'!$D$5:$D$64,MATCH($B55,'Fragrance Projects'!$A$5:$A$64,0)),""))</f>
        <v/>
      </c>
      <c r="E55" s="30"/>
      <c r="F55" s="30"/>
      <c r="G55" s="34"/>
      <c r="H55" s="30"/>
      <c r="I55" s="40"/>
      <c r="J55" s="42" t="str">
        <f aca="false">IF($H55="","",$H55*$I55)</f>
        <v/>
      </c>
      <c r="K55" s="30"/>
      <c r="L55" s="30"/>
      <c r="M55" s="30"/>
      <c r="N55" s="34"/>
    </row>
    <row r="56" customFormat="false" ht="24" hidden="false" customHeight="true" outlineLevel="0" collapsed="false">
      <c r="A56" s="31"/>
      <c r="B56" s="30"/>
      <c r="C56" s="37" t="str">
        <f aca="false">IF($B56="","",IFERROR(INDEX('Fragrance Projects'!$C$5:$C$64,MATCH($B56,'Fragrance Projects'!$A$5:$A$64,0)),""))</f>
        <v/>
      </c>
      <c r="D56" s="37" t="str">
        <f aca="false">IF($B56="","",IFERROR(INDEX('Fragrance Projects'!$D$5:$D$64,MATCH($B56,'Fragrance Projects'!$A$5:$A$64,0)),""))</f>
        <v/>
      </c>
      <c r="E56" s="30"/>
      <c r="F56" s="30"/>
      <c r="G56" s="34"/>
      <c r="H56" s="30"/>
      <c r="I56" s="40"/>
      <c r="J56" s="42" t="str">
        <f aca="false">IF($H56="","",$H56*$I56)</f>
        <v/>
      </c>
      <c r="K56" s="30"/>
      <c r="L56" s="30"/>
      <c r="M56" s="30"/>
      <c r="N56" s="34"/>
    </row>
    <row r="57" customFormat="false" ht="24" hidden="false" customHeight="true" outlineLevel="0" collapsed="false">
      <c r="A57" s="31"/>
      <c r="B57" s="30"/>
      <c r="C57" s="37" t="str">
        <f aca="false">IF($B57="","",IFERROR(INDEX('Fragrance Projects'!$C$5:$C$64,MATCH($B57,'Fragrance Projects'!$A$5:$A$64,0)),""))</f>
        <v/>
      </c>
      <c r="D57" s="37" t="str">
        <f aca="false">IF($B57="","",IFERROR(INDEX('Fragrance Projects'!$D$5:$D$64,MATCH($B57,'Fragrance Projects'!$A$5:$A$64,0)),""))</f>
        <v/>
      </c>
      <c r="E57" s="30"/>
      <c r="F57" s="30"/>
      <c r="G57" s="34"/>
      <c r="H57" s="30"/>
      <c r="I57" s="40"/>
      <c r="J57" s="42" t="str">
        <f aca="false">IF($H57="","",$H57*$I57)</f>
        <v/>
      </c>
      <c r="K57" s="30"/>
      <c r="L57" s="30"/>
      <c r="M57" s="30"/>
      <c r="N57" s="34"/>
    </row>
    <row r="58" customFormat="false" ht="24" hidden="false" customHeight="true" outlineLevel="0" collapsed="false">
      <c r="A58" s="31"/>
      <c r="B58" s="30"/>
      <c r="C58" s="37" t="str">
        <f aca="false">IF($B58="","",IFERROR(INDEX('Fragrance Projects'!$C$5:$C$64,MATCH($B58,'Fragrance Projects'!$A$5:$A$64,0)),""))</f>
        <v/>
      </c>
      <c r="D58" s="37" t="str">
        <f aca="false">IF($B58="","",IFERROR(INDEX('Fragrance Projects'!$D$5:$D$64,MATCH($B58,'Fragrance Projects'!$A$5:$A$64,0)),""))</f>
        <v/>
      </c>
      <c r="E58" s="30"/>
      <c r="F58" s="30"/>
      <c r="G58" s="34"/>
      <c r="H58" s="30"/>
      <c r="I58" s="40"/>
      <c r="J58" s="42" t="str">
        <f aca="false">IF($H58="","",$H58*$I58)</f>
        <v/>
      </c>
      <c r="K58" s="30"/>
      <c r="L58" s="30"/>
      <c r="M58" s="30"/>
      <c r="N58" s="34"/>
    </row>
    <row r="59" customFormat="false" ht="24" hidden="false" customHeight="true" outlineLevel="0" collapsed="false">
      <c r="A59" s="31"/>
      <c r="B59" s="30"/>
      <c r="C59" s="37" t="str">
        <f aca="false">IF($B59="","",IFERROR(INDEX('Fragrance Projects'!$C$5:$C$64,MATCH($B59,'Fragrance Projects'!$A$5:$A$64,0)),""))</f>
        <v/>
      </c>
      <c r="D59" s="37" t="str">
        <f aca="false">IF($B59="","",IFERROR(INDEX('Fragrance Projects'!$D$5:$D$64,MATCH($B59,'Fragrance Projects'!$A$5:$A$64,0)),""))</f>
        <v/>
      </c>
      <c r="E59" s="30"/>
      <c r="F59" s="30"/>
      <c r="G59" s="34"/>
      <c r="H59" s="30"/>
      <c r="I59" s="40"/>
      <c r="J59" s="42" t="str">
        <f aca="false">IF($H59="","",$H59*$I59)</f>
        <v/>
      </c>
      <c r="K59" s="30"/>
      <c r="L59" s="30"/>
      <c r="M59" s="30"/>
      <c r="N59" s="34"/>
    </row>
    <row r="60" customFormat="false" ht="24" hidden="false" customHeight="true" outlineLevel="0" collapsed="false">
      <c r="A60" s="31"/>
      <c r="B60" s="30"/>
      <c r="C60" s="37" t="str">
        <f aca="false">IF($B60="","",IFERROR(INDEX('Fragrance Projects'!$C$5:$C$64,MATCH($B60,'Fragrance Projects'!$A$5:$A$64,0)),""))</f>
        <v/>
      </c>
      <c r="D60" s="37" t="str">
        <f aca="false">IF($B60="","",IFERROR(INDEX('Fragrance Projects'!$D$5:$D$64,MATCH($B60,'Fragrance Projects'!$A$5:$A$64,0)),""))</f>
        <v/>
      </c>
      <c r="E60" s="30"/>
      <c r="F60" s="30"/>
      <c r="G60" s="34"/>
      <c r="H60" s="30"/>
      <c r="I60" s="40"/>
      <c r="J60" s="42" t="str">
        <f aca="false">IF($H60="","",$H60*$I60)</f>
        <v/>
      </c>
      <c r="K60" s="30"/>
      <c r="L60" s="30"/>
      <c r="M60" s="30"/>
      <c r="N60" s="34"/>
    </row>
    <row r="61" customFormat="false" ht="24" hidden="false" customHeight="true" outlineLevel="0" collapsed="false">
      <c r="A61" s="31"/>
      <c r="B61" s="30"/>
      <c r="C61" s="37" t="str">
        <f aca="false">IF($B61="","",IFERROR(INDEX('Fragrance Projects'!$C$5:$C$64,MATCH($B61,'Fragrance Projects'!$A$5:$A$64,0)),""))</f>
        <v/>
      </c>
      <c r="D61" s="37" t="str">
        <f aca="false">IF($B61="","",IFERROR(INDEX('Fragrance Projects'!$D$5:$D$64,MATCH($B61,'Fragrance Projects'!$A$5:$A$64,0)),""))</f>
        <v/>
      </c>
      <c r="E61" s="30"/>
      <c r="F61" s="30"/>
      <c r="G61" s="34"/>
      <c r="H61" s="30"/>
      <c r="I61" s="40"/>
      <c r="J61" s="42" t="str">
        <f aca="false">IF($H61="","",$H61*$I61)</f>
        <v/>
      </c>
      <c r="K61" s="30"/>
      <c r="L61" s="30"/>
      <c r="M61" s="30"/>
      <c r="N61" s="34"/>
    </row>
    <row r="62" customFormat="false" ht="24" hidden="false" customHeight="true" outlineLevel="0" collapsed="false">
      <c r="A62" s="31"/>
      <c r="B62" s="30"/>
      <c r="C62" s="37" t="str">
        <f aca="false">IF($B62="","",IFERROR(INDEX('Fragrance Projects'!$C$5:$C$64,MATCH($B62,'Fragrance Projects'!$A$5:$A$64,0)),""))</f>
        <v/>
      </c>
      <c r="D62" s="37" t="str">
        <f aca="false">IF($B62="","",IFERROR(INDEX('Fragrance Projects'!$D$5:$D$64,MATCH($B62,'Fragrance Projects'!$A$5:$A$64,0)),""))</f>
        <v/>
      </c>
      <c r="E62" s="30"/>
      <c r="F62" s="30"/>
      <c r="G62" s="34"/>
      <c r="H62" s="30"/>
      <c r="I62" s="40"/>
      <c r="J62" s="42" t="str">
        <f aca="false">IF($H62="","",$H62*$I62)</f>
        <v/>
      </c>
      <c r="K62" s="30"/>
      <c r="L62" s="30"/>
      <c r="M62" s="30"/>
      <c r="N62" s="34"/>
    </row>
    <row r="63" customFormat="false" ht="24" hidden="false" customHeight="true" outlineLevel="0" collapsed="false">
      <c r="A63" s="31"/>
      <c r="B63" s="30"/>
      <c r="C63" s="37" t="str">
        <f aca="false">IF($B63="","",IFERROR(INDEX('Fragrance Projects'!$C$5:$C$64,MATCH($B63,'Fragrance Projects'!$A$5:$A$64,0)),""))</f>
        <v/>
      </c>
      <c r="D63" s="37" t="str">
        <f aca="false">IF($B63="","",IFERROR(INDEX('Fragrance Projects'!$D$5:$D$64,MATCH($B63,'Fragrance Projects'!$A$5:$A$64,0)),""))</f>
        <v/>
      </c>
      <c r="E63" s="30"/>
      <c r="F63" s="30"/>
      <c r="G63" s="34"/>
      <c r="H63" s="30"/>
      <c r="I63" s="40"/>
      <c r="J63" s="42" t="str">
        <f aca="false">IF($H63="","",$H63*$I63)</f>
        <v/>
      </c>
      <c r="K63" s="30"/>
      <c r="L63" s="30"/>
      <c r="M63" s="30"/>
      <c r="N63" s="34"/>
    </row>
    <row r="64" customFormat="false" ht="24" hidden="false" customHeight="true" outlineLevel="0" collapsed="false">
      <c r="A64" s="31"/>
      <c r="B64" s="30"/>
      <c r="C64" s="37" t="str">
        <f aca="false">IF($B64="","",IFERROR(INDEX('Fragrance Projects'!$C$5:$C$64,MATCH($B64,'Fragrance Projects'!$A$5:$A$64,0)),""))</f>
        <v/>
      </c>
      <c r="D64" s="37" t="str">
        <f aca="false">IF($B64="","",IFERROR(INDEX('Fragrance Projects'!$D$5:$D$64,MATCH($B64,'Fragrance Projects'!$A$5:$A$64,0)),""))</f>
        <v/>
      </c>
      <c r="E64" s="30"/>
      <c r="F64" s="30"/>
      <c r="G64" s="34"/>
      <c r="H64" s="30"/>
      <c r="I64" s="40"/>
      <c r="J64" s="42" t="str">
        <f aca="false">IF($H64="","",$H64*$I64)</f>
        <v/>
      </c>
      <c r="K64" s="30"/>
      <c r="L64" s="30"/>
      <c r="M64" s="30"/>
      <c r="N64" s="34"/>
    </row>
    <row r="65" customFormat="false" ht="24" hidden="false" customHeight="true" outlineLevel="0" collapsed="false">
      <c r="A65" s="31"/>
      <c r="B65" s="30"/>
      <c r="C65" s="37" t="str">
        <f aca="false">IF($B65="","",IFERROR(INDEX('Fragrance Projects'!$C$5:$C$64,MATCH($B65,'Fragrance Projects'!$A$5:$A$64,0)),""))</f>
        <v/>
      </c>
      <c r="D65" s="37" t="str">
        <f aca="false">IF($B65="","",IFERROR(INDEX('Fragrance Projects'!$D$5:$D$64,MATCH($B65,'Fragrance Projects'!$A$5:$A$64,0)),""))</f>
        <v/>
      </c>
      <c r="E65" s="30"/>
      <c r="F65" s="30"/>
      <c r="G65" s="34"/>
      <c r="H65" s="30"/>
      <c r="I65" s="40"/>
      <c r="J65" s="42" t="str">
        <f aca="false">IF($H65="","",$H65*$I65)</f>
        <v/>
      </c>
      <c r="K65" s="30"/>
      <c r="L65" s="30"/>
      <c r="M65" s="30"/>
      <c r="N65" s="34"/>
    </row>
    <row r="66" customFormat="false" ht="24" hidden="false" customHeight="true" outlineLevel="0" collapsed="false">
      <c r="A66" s="31"/>
      <c r="B66" s="30"/>
      <c r="C66" s="37" t="str">
        <f aca="false">IF($B66="","",IFERROR(INDEX('Fragrance Projects'!$C$5:$C$64,MATCH($B66,'Fragrance Projects'!$A$5:$A$64,0)),""))</f>
        <v/>
      </c>
      <c r="D66" s="37" t="str">
        <f aca="false">IF($B66="","",IFERROR(INDEX('Fragrance Projects'!$D$5:$D$64,MATCH($B66,'Fragrance Projects'!$A$5:$A$64,0)),""))</f>
        <v/>
      </c>
      <c r="E66" s="30"/>
      <c r="F66" s="30"/>
      <c r="G66" s="34"/>
      <c r="H66" s="30"/>
      <c r="I66" s="40"/>
      <c r="J66" s="42" t="str">
        <f aca="false">IF($H66="","",$H66*$I66)</f>
        <v/>
      </c>
      <c r="K66" s="30"/>
      <c r="L66" s="30"/>
      <c r="M66" s="30"/>
      <c r="N66" s="34"/>
    </row>
    <row r="67" customFormat="false" ht="24" hidden="false" customHeight="true" outlineLevel="0" collapsed="false">
      <c r="A67" s="31"/>
      <c r="B67" s="30"/>
      <c r="C67" s="37" t="str">
        <f aca="false">IF($B67="","",IFERROR(INDEX('Fragrance Projects'!$C$5:$C$64,MATCH($B67,'Fragrance Projects'!$A$5:$A$64,0)),""))</f>
        <v/>
      </c>
      <c r="D67" s="37" t="str">
        <f aca="false">IF($B67="","",IFERROR(INDEX('Fragrance Projects'!$D$5:$D$64,MATCH($B67,'Fragrance Projects'!$A$5:$A$64,0)),""))</f>
        <v/>
      </c>
      <c r="E67" s="30"/>
      <c r="F67" s="30"/>
      <c r="G67" s="34"/>
      <c r="H67" s="30"/>
      <c r="I67" s="40"/>
      <c r="J67" s="42" t="str">
        <f aca="false">IF($H67="","",$H67*$I67)</f>
        <v/>
      </c>
      <c r="K67" s="30"/>
      <c r="L67" s="30"/>
      <c r="M67" s="30"/>
      <c r="N67" s="34"/>
    </row>
    <row r="68" customFormat="false" ht="24" hidden="false" customHeight="true" outlineLevel="0" collapsed="false">
      <c r="A68" s="31"/>
      <c r="B68" s="30"/>
      <c r="C68" s="37" t="str">
        <f aca="false">IF($B68="","",IFERROR(INDEX('Fragrance Projects'!$C$5:$C$64,MATCH($B68,'Fragrance Projects'!$A$5:$A$64,0)),""))</f>
        <v/>
      </c>
      <c r="D68" s="37" t="str">
        <f aca="false">IF($B68="","",IFERROR(INDEX('Fragrance Projects'!$D$5:$D$64,MATCH($B68,'Fragrance Projects'!$A$5:$A$64,0)),""))</f>
        <v/>
      </c>
      <c r="E68" s="30"/>
      <c r="F68" s="30"/>
      <c r="G68" s="34"/>
      <c r="H68" s="30"/>
      <c r="I68" s="40"/>
      <c r="J68" s="42" t="str">
        <f aca="false">IF($H68="","",$H68*$I68)</f>
        <v/>
      </c>
      <c r="K68" s="30"/>
      <c r="L68" s="30"/>
      <c r="M68" s="30"/>
      <c r="N68" s="34"/>
    </row>
    <row r="69" customFormat="false" ht="24" hidden="false" customHeight="true" outlineLevel="0" collapsed="false">
      <c r="A69" s="31"/>
      <c r="B69" s="30"/>
      <c r="C69" s="37" t="str">
        <f aca="false">IF($B69="","",IFERROR(INDEX('Fragrance Projects'!$C$5:$C$64,MATCH($B69,'Fragrance Projects'!$A$5:$A$64,0)),""))</f>
        <v/>
      </c>
      <c r="D69" s="37" t="str">
        <f aca="false">IF($B69="","",IFERROR(INDEX('Fragrance Projects'!$D$5:$D$64,MATCH($B69,'Fragrance Projects'!$A$5:$A$64,0)),""))</f>
        <v/>
      </c>
      <c r="E69" s="30"/>
      <c r="F69" s="30"/>
      <c r="G69" s="34"/>
      <c r="H69" s="30"/>
      <c r="I69" s="40"/>
      <c r="J69" s="42" t="str">
        <f aca="false">IF($H69="","",$H69*$I69)</f>
        <v/>
      </c>
      <c r="K69" s="30"/>
      <c r="L69" s="30"/>
      <c r="M69" s="30"/>
      <c r="N69" s="34"/>
    </row>
    <row r="70" customFormat="false" ht="24" hidden="false" customHeight="true" outlineLevel="0" collapsed="false">
      <c r="A70" s="31"/>
      <c r="B70" s="30"/>
      <c r="C70" s="37" t="str">
        <f aca="false">IF($B70="","",IFERROR(INDEX('Fragrance Projects'!$C$5:$C$64,MATCH($B70,'Fragrance Projects'!$A$5:$A$64,0)),""))</f>
        <v/>
      </c>
      <c r="D70" s="37" t="str">
        <f aca="false">IF($B70="","",IFERROR(INDEX('Fragrance Projects'!$D$5:$D$64,MATCH($B70,'Fragrance Projects'!$A$5:$A$64,0)),""))</f>
        <v/>
      </c>
      <c r="E70" s="30"/>
      <c r="F70" s="30"/>
      <c r="G70" s="34"/>
      <c r="H70" s="30"/>
      <c r="I70" s="40"/>
      <c r="J70" s="42" t="str">
        <f aca="false">IF($H70="","",$H70*$I70)</f>
        <v/>
      </c>
      <c r="K70" s="30"/>
      <c r="L70" s="30"/>
      <c r="M70" s="30"/>
      <c r="N70" s="34"/>
    </row>
    <row r="71" customFormat="false" ht="24" hidden="false" customHeight="true" outlineLevel="0" collapsed="false">
      <c r="A71" s="31"/>
      <c r="B71" s="30"/>
      <c r="C71" s="37" t="str">
        <f aca="false">IF($B71="","",IFERROR(INDEX('Fragrance Projects'!$C$5:$C$64,MATCH($B71,'Fragrance Projects'!$A$5:$A$64,0)),""))</f>
        <v/>
      </c>
      <c r="D71" s="37" t="str">
        <f aca="false">IF($B71="","",IFERROR(INDEX('Fragrance Projects'!$D$5:$D$64,MATCH($B71,'Fragrance Projects'!$A$5:$A$64,0)),""))</f>
        <v/>
      </c>
      <c r="E71" s="30"/>
      <c r="F71" s="30"/>
      <c r="G71" s="34"/>
      <c r="H71" s="30"/>
      <c r="I71" s="40"/>
      <c r="J71" s="42" t="str">
        <f aca="false">IF($H71="","",$H71*$I71)</f>
        <v/>
      </c>
      <c r="K71" s="30"/>
      <c r="L71" s="30"/>
      <c r="M71" s="30"/>
      <c r="N71" s="34"/>
    </row>
    <row r="72" customFormat="false" ht="24" hidden="false" customHeight="true" outlineLevel="0" collapsed="false">
      <c r="A72" s="31"/>
      <c r="B72" s="30"/>
      <c r="C72" s="37" t="str">
        <f aca="false">IF($B72="","",IFERROR(INDEX('Fragrance Projects'!$C$5:$C$64,MATCH($B72,'Fragrance Projects'!$A$5:$A$64,0)),""))</f>
        <v/>
      </c>
      <c r="D72" s="37" t="str">
        <f aca="false">IF($B72="","",IFERROR(INDEX('Fragrance Projects'!$D$5:$D$64,MATCH($B72,'Fragrance Projects'!$A$5:$A$64,0)),""))</f>
        <v/>
      </c>
      <c r="E72" s="30"/>
      <c r="F72" s="30"/>
      <c r="G72" s="34"/>
      <c r="H72" s="30"/>
      <c r="I72" s="40"/>
      <c r="J72" s="42" t="str">
        <f aca="false">IF($H72="","",$H72*$I72)</f>
        <v/>
      </c>
      <c r="K72" s="30"/>
      <c r="L72" s="30"/>
      <c r="M72" s="30"/>
      <c r="N72" s="34"/>
    </row>
    <row r="73" customFormat="false" ht="24" hidden="false" customHeight="true" outlineLevel="0" collapsed="false">
      <c r="A73" s="31"/>
      <c r="B73" s="30"/>
      <c r="C73" s="37" t="str">
        <f aca="false">IF($B73="","",IFERROR(INDEX('Fragrance Projects'!$C$5:$C$64,MATCH($B73,'Fragrance Projects'!$A$5:$A$64,0)),""))</f>
        <v/>
      </c>
      <c r="D73" s="37" t="str">
        <f aca="false">IF($B73="","",IFERROR(INDEX('Fragrance Projects'!$D$5:$D$64,MATCH($B73,'Fragrance Projects'!$A$5:$A$64,0)),""))</f>
        <v/>
      </c>
      <c r="E73" s="30"/>
      <c r="F73" s="30"/>
      <c r="G73" s="34"/>
      <c r="H73" s="30"/>
      <c r="I73" s="40"/>
      <c r="J73" s="42" t="str">
        <f aca="false">IF($H73="","",$H73*$I73)</f>
        <v/>
      </c>
      <c r="K73" s="30"/>
      <c r="L73" s="30"/>
      <c r="M73" s="30"/>
      <c r="N73" s="34"/>
    </row>
    <row r="74" customFormat="false" ht="24" hidden="false" customHeight="true" outlineLevel="0" collapsed="false">
      <c r="A74" s="31"/>
      <c r="B74" s="30"/>
      <c r="C74" s="37" t="str">
        <f aca="false">IF($B74="","",IFERROR(INDEX('Fragrance Projects'!$C$5:$C$64,MATCH($B74,'Fragrance Projects'!$A$5:$A$64,0)),""))</f>
        <v/>
      </c>
      <c r="D74" s="37" t="str">
        <f aca="false">IF($B74="","",IFERROR(INDEX('Fragrance Projects'!$D$5:$D$64,MATCH($B74,'Fragrance Projects'!$A$5:$A$64,0)),""))</f>
        <v/>
      </c>
      <c r="E74" s="30"/>
      <c r="F74" s="30"/>
      <c r="G74" s="34"/>
      <c r="H74" s="30"/>
      <c r="I74" s="40"/>
      <c r="J74" s="42" t="str">
        <f aca="false">IF($H74="","",$H74*$I74)</f>
        <v/>
      </c>
      <c r="K74" s="30"/>
      <c r="L74" s="30"/>
      <c r="M74" s="30"/>
      <c r="N74" s="34"/>
    </row>
    <row r="75" customFormat="false" ht="24" hidden="false" customHeight="true" outlineLevel="0" collapsed="false">
      <c r="A75" s="31"/>
      <c r="B75" s="30"/>
      <c r="C75" s="37" t="str">
        <f aca="false">IF($B75="","",IFERROR(INDEX('Fragrance Projects'!$C$5:$C$64,MATCH($B75,'Fragrance Projects'!$A$5:$A$64,0)),""))</f>
        <v/>
      </c>
      <c r="D75" s="37" t="str">
        <f aca="false">IF($B75="","",IFERROR(INDEX('Fragrance Projects'!$D$5:$D$64,MATCH($B75,'Fragrance Projects'!$A$5:$A$64,0)),""))</f>
        <v/>
      </c>
      <c r="E75" s="30"/>
      <c r="F75" s="30"/>
      <c r="G75" s="34"/>
      <c r="H75" s="30"/>
      <c r="I75" s="40"/>
      <c r="J75" s="42" t="str">
        <f aca="false">IF($H75="","",$H75*$I75)</f>
        <v/>
      </c>
      <c r="K75" s="30"/>
      <c r="L75" s="30"/>
      <c r="M75" s="30"/>
      <c r="N75" s="34"/>
    </row>
    <row r="76" customFormat="false" ht="24" hidden="false" customHeight="true" outlineLevel="0" collapsed="false">
      <c r="A76" s="31"/>
      <c r="B76" s="30"/>
      <c r="C76" s="37" t="str">
        <f aca="false">IF($B76="","",IFERROR(INDEX('Fragrance Projects'!$C$5:$C$64,MATCH($B76,'Fragrance Projects'!$A$5:$A$64,0)),""))</f>
        <v/>
      </c>
      <c r="D76" s="37" t="str">
        <f aca="false">IF($B76="","",IFERROR(INDEX('Fragrance Projects'!$D$5:$D$64,MATCH($B76,'Fragrance Projects'!$A$5:$A$64,0)),""))</f>
        <v/>
      </c>
      <c r="E76" s="30"/>
      <c r="F76" s="30"/>
      <c r="G76" s="34"/>
      <c r="H76" s="30"/>
      <c r="I76" s="40"/>
      <c r="J76" s="42" t="str">
        <f aca="false">IF($H76="","",$H76*$I76)</f>
        <v/>
      </c>
      <c r="K76" s="30"/>
      <c r="L76" s="30"/>
      <c r="M76" s="30"/>
      <c r="N76" s="34"/>
    </row>
    <row r="77" customFormat="false" ht="24" hidden="false" customHeight="true" outlineLevel="0" collapsed="false">
      <c r="A77" s="31"/>
      <c r="B77" s="30"/>
      <c r="C77" s="37" t="str">
        <f aca="false">IF($B77="","",IFERROR(INDEX('Fragrance Projects'!$C$5:$C$64,MATCH($B77,'Fragrance Projects'!$A$5:$A$64,0)),""))</f>
        <v/>
      </c>
      <c r="D77" s="37" t="str">
        <f aca="false">IF($B77="","",IFERROR(INDEX('Fragrance Projects'!$D$5:$D$64,MATCH($B77,'Fragrance Projects'!$A$5:$A$64,0)),""))</f>
        <v/>
      </c>
      <c r="E77" s="30"/>
      <c r="F77" s="30"/>
      <c r="G77" s="34"/>
      <c r="H77" s="30"/>
      <c r="I77" s="40"/>
      <c r="J77" s="42" t="str">
        <f aca="false">IF($H77="","",$H77*$I77)</f>
        <v/>
      </c>
      <c r="K77" s="30"/>
      <c r="L77" s="30"/>
      <c r="M77" s="30"/>
      <c r="N77" s="34"/>
    </row>
    <row r="78" customFormat="false" ht="24" hidden="false" customHeight="true" outlineLevel="0" collapsed="false">
      <c r="A78" s="31"/>
      <c r="B78" s="30"/>
      <c r="C78" s="37" t="str">
        <f aca="false">IF($B78="","",IFERROR(INDEX('Fragrance Projects'!$C$5:$C$64,MATCH($B78,'Fragrance Projects'!$A$5:$A$64,0)),""))</f>
        <v/>
      </c>
      <c r="D78" s="37" t="str">
        <f aca="false">IF($B78="","",IFERROR(INDEX('Fragrance Projects'!$D$5:$D$64,MATCH($B78,'Fragrance Projects'!$A$5:$A$64,0)),""))</f>
        <v/>
      </c>
      <c r="E78" s="30"/>
      <c r="F78" s="30"/>
      <c r="G78" s="34"/>
      <c r="H78" s="30"/>
      <c r="I78" s="40"/>
      <c r="J78" s="42" t="str">
        <f aca="false">IF($H78="","",$H78*$I78)</f>
        <v/>
      </c>
      <c r="K78" s="30"/>
      <c r="L78" s="30"/>
      <c r="M78" s="30"/>
      <c r="N78" s="34"/>
    </row>
    <row r="79" customFormat="false" ht="24" hidden="false" customHeight="true" outlineLevel="0" collapsed="false">
      <c r="A79" s="31"/>
      <c r="B79" s="30"/>
      <c r="C79" s="37" t="str">
        <f aca="false">IF($B79="","",IFERROR(INDEX('Fragrance Projects'!$C$5:$C$64,MATCH($B79,'Fragrance Projects'!$A$5:$A$64,0)),""))</f>
        <v/>
      </c>
      <c r="D79" s="37" t="str">
        <f aca="false">IF($B79="","",IFERROR(INDEX('Fragrance Projects'!$D$5:$D$64,MATCH($B79,'Fragrance Projects'!$A$5:$A$64,0)),""))</f>
        <v/>
      </c>
      <c r="E79" s="30"/>
      <c r="F79" s="30"/>
      <c r="G79" s="34"/>
      <c r="H79" s="30"/>
      <c r="I79" s="40"/>
      <c r="J79" s="42" t="str">
        <f aca="false">IF($H79="","",$H79*$I79)</f>
        <v/>
      </c>
      <c r="K79" s="30"/>
      <c r="L79" s="30"/>
      <c r="M79" s="30"/>
      <c r="N79" s="34"/>
    </row>
    <row r="80" customFormat="false" ht="24" hidden="false" customHeight="true" outlineLevel="0" collapsed="false">
      <c r="A80" s="31"/>
      <c r="B80" s="30"/>
      <c r="C80" s="37" t="str">
        <f aca="false">IF($B80="","",IFERROR(INDEX('Fragrance Projects'!$C$5:$C$64,MATCH($B80,'Fragrance Projects'!$A$5:$A$64,0)),""))</f>
        <v/>
      </c>
      <c r="D80" s="37" t="str">
        <f aca="false">IF($B80="","",IFERROR(INDEX('Fragrance Projects'!$D$5:$D$64,MATCH($B80,'Fragrance Projects'!$A$5:$A$64,0)),""))</f>
        <v/>
      </c>
      <c r="E80" s="30"/>
      <c r="F80" s="30"/>
      <c r="G80" s="34"/>
      <c r="H80" s="30"/>
      <c r="I80" s="40"/>
      <c r="J80" s="42" t="str">
        <f aca="false">IF($H80="","",$H80*$I80)</f>
        <v/>
      </c>
      <c r="K80" s="30"/>
      <c r="L80" s="30"/>
      <c r="M80" s="30"/>
      <c r="N80" s="34"/>
    </row>
    <row r="81" customFormat="false" ht="24" hidden="false" customHeight="true" outlineLevel="0" collapsed="false">
      <c r="A81" s="31"/>
      <c r="B81" s="30"/>
      <c r="C81" s="37" t="str">
        <f aca="false">IF($B81="","",IFERROR(INDEX('Fragrance Projects'!$C$5:$C$64,MATCH($B81,'Fragrance Projects'!$A$5:$A$64,0)),""))</f>
        <v/>
      </c>
      <c r="D81" s="37" t="str">
        <f aca="false">IF($B81="","",IFERROR(INDEX('Fragrance Projects'!$D$5:$D$64,MATCH($B81,'Fragrance Projects'!$A$5:$A$64,0)),""))</f>
        <v/>
      </c>
      <c r="E81" s="30"/>
      <c r="F81" s="30"/>
      <c r="G81" s="34"/>
      <c r="H81" s="30"/>
      <c r="I81" s="40"/>
      <c r="J81" s="42" t="str">
        <f aca="false">IF($H81="","",$H81*$I81)</f>
        <v/>
      </c>
      <c r="K81" s="30"/>
      <c r="L81" s="30"/>
      <c r="M81" s="30"/>
      <c r="N81" s="34"/>
    </row>
    <row r="82" customFormat="false" ht="24" hidden="false" customHeight="true" outlineLevel="0" collapsed="false">
      <c r="A82" s="31"/>
      <c r="B82" s="30"/>
      <c r="C82" s="37" t="str">
        <f aca="false">IF($B82="","",IFERROR(INDEX('Fragrance Projects'!$C$5:$C$64,MATCH($B82,'Fragrance Projects'!$A$5:$A$64,0)),""))</f>
        <v/>
      </c>
      <c r="D82" s="37" t="str">
        <f aca="false">IF($B82="","",IFERROR(INDEX('Fragrance Projects'!$D$5:$D$64,MATCH($B82,'Fragrance Projects'!$A$5:$A$64,0)),""))</f>
        <v/>
      </c>
      <c r="E82" s="30"/>
      <c r="F82" s="30"/>
      <c r="G82" s="34"/>
      <c r="H82" s="30"/>
      <c r="I82" s="40"/>
      <c r="J82" s="42" t="str">
        <f aca="false">IF($H82="","",$H82*$I82)</f>
        <v/>
      </c>
      <c r="K82" s="30"/>
      <c r="L82" s="30"/>
      <c r="M82" s="30"/>
      <c r="N82" s="34"/>
    </row>
    <row r="83" customFormat="false" ht="24" hidden="false" customHeight="true" outlineLevel="0" collapsed="false">
      <c r="A83" s="31"/>
      <c r="B83" s="30"/>
      <c r="C83" s="37" t="str">
        <f aca="false">IF($B83="","",IFERROR(INDEX('Fragrance Projects'!$C$5:$C$64,MATCH($B83,'Fragrance Projects'!$A$5:$A$64,0)),""))</f>
        <v/>
      </c>
      <c r="D83" s="37" t="str">
        <f aca="false">IF($B83="","",IFERROR(INDEX('Fragrance Projects'!$D$5:$D$64,MATCH($B83,'Fragrance Projects'!$A$5:$A$64,0)),""))</f>
        <v/>
      </c>
      <c r="E83" s="30"/>
      <c r="F83" s="30"/>
      <c r="G83" s="34"/>
      <c r="H83" s="30"/>
      <c r="I83" s="40"/>
      <c r="J83" s="42" t="str">
        <f aca="false">IF($H83="","",$H83*$I83)</f>
        <v/>
      </c>
      <c r="K83" s="30"/>
      <c r="L83" s="30"/>
      <c r="M83" s="30"/>
      <c r="N83" s="34"/>
    </row>
    <row r="84" customFormat="false" ht="24" hidden="false" customHeight="true" outlineLevel="0" collapsed="false">
      <c r="A84" s="31"/>
      <c r="B84" s="30"/>
      <c r="C84" s="37" t="str">
        <f aca="false">IF($B84="","",IFERROR(INDEX('Fragrance Projects'!$C$5:$C$64,MATCH($B84,'Fragrance Projects'!$A$5:$A$64,0)),""))</f>
        <v/>
      </c>
      <c r="D84" s="37" t="str">
        <f aca="false">IF($B84="","",IFERROR(INDEX('Fragrance Projects'!$D$5:$D$64,MATCH($B84,'Fragrance Projects'!$A$5:$A$64,0)),""))</f>
        <v/>
      </c>
      <c r="E84" s="30"/>
      <c r="F84" s="30"/>
      <c r="G84" s="34"/>
      <c r="H84" s="30"/>
      <c r="I84" s="40"/>
      <c r="J84" s="42" t="str">
        <f aca="false">IF($H84="","",$H84*$I84)</f>
        <v/>
      </c>
      <c r="K84" s="30"/>
      <c r="L84" s="30"/>
      <c r="M84" s="30"/>
      <c r="N84" s="34"/>
    </row>
    <row r="85" customFormat="false" ht="24" hidden="false" customHeight="true" outlineLevel="0" collapsed="false">
      <c r="A85" s="31"/>
      <c r="B85" s="30"/>
      <c r="C85" s="37" t="str">
        <f aca="false">IF($B85="","",IFERROR(INDEX('Fragrance Projects'!$C$5:$C$64,MATCH($B85,'Fragrance Projects'!$A$5:$A$64,0)),""))</f>
        <v/>
      </c>
      <c r="D85" s="37" t="str">
        <f aca="false">IF($B85="","",IFERROR(INDEX('Fragrance Projects'!$D$5:$D$64,MATCH($B85,'Fragrance Projects'!$A$5:$A$64,0)),""))</f>
        <v/>
      </c>
      <c r="E85" s="30"/>
      <c r="F85" s="30"/>
      <c r="G85" s="34"/>
      <c r="H85" s="30"/>
      <c r="I85" s="40"/>
      <c r="J85" s="42" t="str">
        <f aca="false">IF($H85="","",$H85*$I85)</f>
        <v/>
      </c>
      <c r="K85" s="30"/>
      <c r="L85" s="30"/>
      <c r="M85" s="30"/>
      <c r="N85" s="34"/>
    </row>
    <row r="86" customFormat="false" ht="24" hidden="false" customHeight="true" outlineLevel="0" collapsed="false">
      <c r="A86" s="31"/>
      <c r="B86" s="30"/>
      <c r="C86" s="37" t="str">
        <f aca="false">IF($B86="","",IFERROR(INDEX('Fragrance Projects'!$C$5:$C$64,MATCH($B86,'Fragrance Projects'!$A$5:$A$64,0)),""))</f>
        <v/>
      </c>
      <c r="D86" s="37" t="str">
        <f aca="false">IF($B86="","",IFERROR(INDEX('Fragrance Projects'!$D$5:$D$64,MATCH($B86,'Fragrance Projects'!$A$5:$A$64,0)),""))</f>
        <v/>
      </c>
      <c r="E86" s="30"/>
      <c r="F86" s="30"/>
      <c r="G86" s="34"/>
      <c r="H86" s="30"/>
      <c r="I86" s="40"/>
      <c r="J86" s="42" t="str">
        <f aca="false">IF($H86="","",$H86*$I86)</f>
        <v/>
      </c>
      <c r="K86" s="30"/>
      <c r="L86" s="30"/>
      <c r="M86" s="30"/>
      <c r="N86" s="34"/>
    </row>
    <row r="87" customFormat="false" ht="24" hidden="false" customHeight="true" outlineLevel="0" collapsed="false">
      <c r="A87" s="31"/>
      <c r="B87" s="30"/>
      <c r="C87" s="37" t="str">
        <f aca="false">IF($B87="","",IFERROR(INDEX('Fragrance Projects'!$C$5:$C$64,MATCH($B87,'Fragrance Projects'!$A$5:$A$64,0)),""))</f>
        <v/>
      </c>
      <c r="D87" s="37" t="str">
        <f aca="false">IF($B87="","",IFERROR(INDEX('Fragrance Projects'!$D$5:$D$64,MATCH($B87,'Fragrance Projects'!$A$5:$A$64,0)),""))</f>
        <v/>
      </c>
      <c r="E87" s="30"/>
      <c r="F87" s="30"/>
      <c r="G87" s="34"/>
      <c r="H87" s="30"/>
      <c r="I87" s="40"/>
      <c r="J87" s="42" t="str">
        <f aca="false">IF($H87="","",$H87*$I87)</f>
        <v/>
      </c>
      <c r="K87" s="30"/>
      <c r="L87" s="30"/>
      <c r="M87" s="30"/>
      <c r="N87" s="34"/>
    </row>
    <row r="88" customFormat="false" ht="24" hidden="false" customHeight="true" outlineLevel="0" collapsed="false">
      <c r="A88" s="31"/>
      <c r="B88" s="30"/>
      <c r="C88" s="37" t="str">
        <f aca="false">IF($B88="","",IFERROR(INDEX('Fragrance Projects'!$C$5:$C$64,MATCH($B88,'Fragrance Projects'!$A$5:$A$64,0)),""))</f>
        <v/>
      </c>
      <c r="D88" s="37" t="str">
        <f aca="false">IF($B88="","",IFERROR(INDEX('Fragrance Projects'!$D$5:$D$64,MATCH($B88,'Fragrance Projects'!$A$5:$A$64,0)),""))</f>
        <v/>
      </c>
      <c r="E88" s="30"/>
      <c r="F88" s="30"/>
      <c r="G88" s="34"/>
      <c r="H88" s="30"/>
      <c r="I88" s="40"/>
      <c r="J88" s="42" t="str">
        <f aca="false">IF($H88="","",$H88*$I88)</f>
        <v/>
      </c>
      <c r="K88" s="30"/>
      <c r="L88" s="30"/>
      <c r="M88" s="30"/>
      <c r="N88" s="34"/>
    </row>
    <row r="89" customFormat="false" ht="24" hidden="false" customHeight="true" outlineLevel="0" collapsed="false">
      <c r="A89" s="31"/>
      <c r="B89" s="30"/>
      <c r="C89" s="37" t="str">
        <f aca="false">IF($B89="","",IFERROR(INDEX('Fragrance Projects'!$C$5:$C$64,MATCH($B89,'Fragrance Projects'!$A$5:$A$64,0)),""))</f>
        <v/>
      </c>
      <c r="D89" s="37" t="str">
        <f aca="false">IF($B89="","",IFERROR(INDEX('Fragrance Projects'!$D$5:$D$64,MATCH($B89,'Fragrance Projects'!$A$5:$A$64,0)),""))</f>
        <v/>
      </c>
      <c r="E89" s="30"/>
      <c r="F89" s="30"/>
      <c r="G89" s="34"/>
      <c r="H89" s="30"/>
      <c r="I89" s="40"/>
      <c r="J89" s="42" t="str">
        <f aca="false">IF($H89="","",$H89*$I89)</f>
        <v/>
      </c>
      <c r="K89" s="30"/>
      <c r="L89" s="30"/>
      <c r="M89" s="30"/>
      <c r="N89" s="34"/>
    </row>
    <row r="90" customFormat="false" ht="24" hidden="false" customHeight="true" outlineLevel="0" collapsed="false">
      <c r="A90" s="31"/>
      <c r="B90" s="30"/>
      <c r="C90" s="37" t="str">
        <f aca="false">IF($B90="","",IFERROR(INDEX('Fragrance Projects'!$C$5:$C$64,MATCH($B90,'Fragrance Projects'!$A$5:$A$64,0)),""))</f>
        <v/>
      </c>
      <c r="D90" s="37" t="str">
        <f aca="false">IF($B90="","",IFERROR(INDEX('Fragrance Projects'!$D$5:$D$64,MATCH($B90,'Fragrance Projects'!$A$5:$A$64,0)),""))</f>
        <v/>
      </c>
      <c r="E90" s="30"/>
      <c r="F90" s="30"/>
      <c r="G90" s="34"/>
      <c r="H90" s="30"/>
      <c r="I90" s="40"/>
      <c r="J90" s="42" t="str">
        <f aca="false">IF($H90="","",$H90*$I90)</f>
        <v/>
      </c>
      <c r="K90" s="30"/>
      <c r="L90" s="30"/>
      <c r="M90" s="30"/>
      <c r="N90" s="34"/>
    </row>
    <row r="91" customFormat="false" ht="24" hidden="false" customHeight="true" outlineLevel="0" collapsed="false">
      <c r="A91" s="31"/>
      <c r="B91" s="30"/>
      <c r="C91" s="37" t="str">
        <f aca="false">IF($B91="","",IFERROR(INDEX('Fragrance Projects'!$C$5:$C$64,MATCH($B91,'Fragrance Projects'!$A$5:$A$64,0)),""))</f>
        <v/>
      </c>
      <c r="D91" s="37" t="str">
        <f aca="false">IF($B91="","",IFERROR(INDEX('Fragrance Projects'!$D$5:$D$64,MATCH($B91,'Fragrance Projects'!$A$5:$A$64,0)),""))</f>
        <v/>
      </c>
      <c r="E91" s="30"/>
      <c r="F91" s="30"/>
      <c r="G91" s="34"/>
      <c r="H91" s="30"/>
      <c r="I91" s="40"/>
      <c r="J91" s="42" t="str">
        <f aca="false">IF($H91="","",$H91*$I91)</f>
        <v/>
      </c>
      <c r="K91" s="30"/>
      <c r="L91" s="30"/>
      <c r="M91" s="30"/>
      <c r="N91" s="34"/>
    </row>
    <row r="92" customFormat="false" ht="24" hidden="false" customHeight="true" outlineLevel="0" collapsed="false">
      <c r="A92" s="31"/>
      <c r="B92" s="30"/>
      <c r="C92" s="37" t="str">
        <f aca="false">IF($B92="","",IFERROR(INDEX('Fragrance Projects'!$C$5:$C$64,MATCH($B92,'Fragrance Projects'!$A$5:$A$64,0)),""))</f>
        <v/>
      </c>
      <c r="D92" s="37" t="str">
        <f aca="false">IF($B92="","",IFERROR(INDEX('Fragrance Projects'!$D$5:$D$64,MATCH($B92,'Fragrance Projects'!$A$5:$A$64,0)),""))</f>
        <v/>
      </c>
      <c r="E92" s="30"/>
      <c r="F92" s="30"/>
      <c r="G92" s="34"/>
      <c r="H92" s="30"/>
      <c r="I92" s="40"/>
      <c r="J92" s="42" t="str">
        <f aca="false">IF($H92="","",$H92*$I92)</f>
        <v/>
      </c>
      <c r="K92" s="30"/>
      <c r="L92" s="30"/>
      <c r="M92" s="30"/>
      <c r="N92" s="34"/>
    </row>
    <row r="93" customFormat="false" ht="24" hidden="false" customHeight="true" outlineLevel="0" collapsed="false">
      <c r="A93" s="31"/>
      <c r="B93" s="30"/>
      <c r="C93" s="37" t="str">
        <f aca="false">IF($B93="","",IFERROR(INDEX('Fragrance Projects'!$C$5:$C$64,MATCH($B93,'Fragrance Projects'!$A$5:$A$64,0)),""))</f>
        <v/>
      </c>
      <c r="D93" s="37" t="str">
        <f aca="false">IF($B93="","",IFERROR(INDEX('Fragrance Projects'!$D$5:$D$64,MATCH($B93,'Fragrance Projects'!$A$5:$A$64,0)),""))</f>
        <v/>
      </c>
      <c r="E93" s="30"/>
      <c r="F93" s="30"/>
      <c r="G93" s="34"/>
      <c r="H93" s="30"/>
      <c r="I93" s="40"/>
      <c r="J93" s="42" t="str">
        <f aca="false">IF($H93="","",$H93*$I93)</f>
        <v/>
      </c>
      <c r="K93" s="30"/>
      <c r="L93" s="30"/>
      <c r="M93" s="30"/>
      <c r="N93" s="34"/>
    </row>
    <row r="94" customFormat="false" ht="24" hidden="false" customHeight="true" outlineLevel="0" collapsed="false">
      <c r="A94" s="31"/>
      <c r="B94" s="30"/>
      <c r="C94" s="37" t="str">
        <f aca="false">IF($B94="","",IFERROR(INDEX('Fragrance Projects'!$C$5:$C$64,MATCH($B94,'Fragrance Projects'!$A$5:$A$64,0)),""))</f>
        <v/>
      </c>
      <c r="D94" s="37" t="str">
        <f aca="false">IF($B94="","",IFERROR(INDEX('Fragrance Projects'!$D$5:$D$64,MATCH($B94,'Fragrance Projects'!$A$5:$A$64,0)),""))</f>
        <v/>
      </c>
      <c r="E94" s="30"/>
      <c r="F94" s="30"/>
      <c r="G94" s="34"/>
      <c r="H94" s="30"/>
      <c r="I94" s="40"/>
      <c r="J94" s="42" t="str">
        <f aca="false">IF($H94="","",$H94*$I94)</f>
        <v/>
      </c>
      <c r="K94" s="30"/>
      <c r="L94" s="30"/>
      <c r="M94" s="30"/>
      <c r="N94" s="34"/>
    </row>
    <row r="95" customFormat="false" ht="24" hidden="false" customHeight="true" outlineLevel="0" collapsed="false">
      <c r="A95" s="31"/>
      <c r="B95" s="30"/>
      <c r="C95" s="37" t="str">
        <f aca="false">IF($B95="","",IFERROR(INDEX('Fragrance Projects'!$C$5:$C$64,MATCH($B95,'Fragrance Projects'!$A$5:$A$64,0)),""))</f>
        <v/>
      </c>
      <c r="D95" s="37" t="str">
        <f aca="false">IF($B95="","",IFERROR(INDEX('Fragrance Projects'!$D$5:$D$64,MATCH($B95,'Fragrance Projects'!$A$5:$A$64,0)),""))</f>
        <v/>
      </c>
      <c r="E95" s="30"/>
      <c r="F95" s="30"/>
      <c r="G95" s="34"/>
      <c r="H95" s="30"/>
      <c r="I95" s="40"/>
      <c r="J95" s="42" t="str">
        <f aca="false">IF($H95="","",$H95*$I95)</f>
        <v/>
      </c>
      <c r="K95" s="30"/>
      <c r="L95" s="30"/>
      <c r="M95" s="30"/>
      <c r="N95" s="34"/>
    </row>
    <row r="96" customFormat="false" ht="24" hidden="false" customHeight="true" outlineLevel="0" collapsed="false">
      <c r="A96" s="31"/>
      <c r="B96" s="30"/>
      <c r="C96" s="37" t="str">
        <f aca="false">IF($B96="","",IFERROR(INDEX('Fragrance Projects'!$C$5:$C$64,MATCH($B96,'Fragrance Projects'!$A$5:$A$64,0)),""))</f>
        <v/>
      </c>
      <c r="D96" s="37" t="str">
        <f aca="false">IF($B96="","",IFERROR(INDEX('Fragrance Projects'!$D$5:$D$64,MATCH($B96,'Fragrance Projects'!$A$5:$A$64,0)),""))</f>
        <v/>
      </c>
      <c r="E96" s="30"/>
      <c r="F96" s="30"/>
      <c r="G96" s="34"/>
      <c r="H96" s="30"/>
      <c r="I96" s="40"/>
      <c r="J96" s="42" t="str">
        <f aca="false">IF($H96="","",$H96*$I96)</f>
        <v/>
      </c>
      <c r="K96" s="30"/>
      <c r="L96" s="30"/>
      <c r="M96" s="30"/>
      <c r="N96" s="34"/>
    </row>
    <row r="97" customFormat="false" ht="24" hidden="false" customHeight="true" outlineLevel="0" collapsed="false">
      <c r="A97" s="31"/>
      <c r="B97" s="30"/>
      <c r="C97" s="37" t="str">
        <f aca="false">IF($B97="","",IFERROR(INDEX('Fragrance Projects'!$C$5:$C$64,MATCH($B97,'Fragrance Projects'!$A$5:$A$64,0)),""))</f>
        <v/>
      </c>
      <c r="D97" s="37" t="str">
        <f aca="false">IF($B97="","",IFERROR(INDEX('Fragrance Projects'!$D$5:$D$64,MATCH($B97,'Fragrance Projects'!$A$5:$A$64,0)),""))</f>
        <v/>
      </c>
      <c r="E97" s="30"/>
      <c r="F97" s="30"/>
      <c r="G97" s="34"/>
      <c r="H97" s="30"/>
      <c r="I97" s="40"/>
      <c r="J97" s="42" t="str">
        <f aca="false">IF($H97="","",$H97*$I97)</f>
        <v/>
      </c>
      <c r="K97" s="30"/>
      <c r="L97" s="30"/>
      <c r="M97" s="30"/>
      <c r="N97" s="34"/>
    </row>
    <row r="98" customFormat="false" ht="24" hidden="false" customHeight="true" outlineLevel="0" collapsed="false">
      <c r="A98" s="31"/>
      <c r="B98" s="30"/>
      <c r="C98" s="37" t="str">
        <f aca="false">IF($B98="","",IFERROR(INDEX('Fragrance Projects'!$C$5:$C$64,MATCH($B98,'Fragrance Projects'!$A$5:$A$64,0)),""))</f>
        <v/>
      </c>
      <c r="D98" s="37" t="str">
        <f aca="false">IF($B98="","",IFERROR(INDEX('Fragrance Projects'!$D$5:$D$64,MATCH($B98,'Fragrance Projects'!$A$5:$A$64,0)),""))</f>
        <v/>
      </c>
      <c r="E98" s="30"/>
      <c r="F98" s="30"/>
      <c r="G98" s="34"/>
      <c r="H98" s="30"/>
      <c r="I98" s="40"/>
      <c r="J98" s="42" t="str">
        <f aca="false">IF($H98="","",$H98*$I98)</f>
        <v/>
      </c>
      <c r="K98" s="30"/>
      <c r="L98" s="30"/>
      <c r="M98" s="30"/>
      <c r="N98" s="34"/>
    </row>
    <row r="99" customFormat="false" ht="24" hidden="false" customHeight="true" outlineLevel="0" collapsed="false">
      <c r="A99" s="31"/>
      <c r="B99" s="30"/>
      <c r="C99" s="37" t="str">
        <f aca="false">IF($B99="","",IFERROR(INDEX('Fragrance Projects'!$C$5:$C$64,MATCH($B99,'Fragrance Projects'!$A$5:$A$64,0)),""))</f>
        <v/>
      </c>
      <c r="D99" s="37" t="str">
        <f aca="false">IF($B99="","",IFERROR(INDEX('Fragrance Projects'!$D$5:$D$64,MATCH($B99,'Fragrance Projects'!$A$5:$A$64,0)),""))</f>
        <v/>
      </c>
      <c r="E99" s="30"/>
      <c r="F99" s="30"/>
      <c r="G99" s="34"/>
      <c r="H99" s="30"/>
      <c r="I99" s="40"/>
      <c r="J99" s="42" t="str">
        <f aca="false">IF($H99="","",$H99*$I99)</f>
        <v/>
      </c>
      <c r="K99" s="30"/>
      <c r="L99" s="30"/>
      <c r="M99" s="30"/>
      <c r="N99" s="34"/>
    </row>
    <row r="100" customFormat="false" ht="24" hidden="false" customHeight="true" outlineLevel="0" collapsed="false">
      <c r="A100" s="31"/>
      <c r="B100" s="30"/>
      <c r="C100" s="37" t="str">
        <f aca="false">IF($B100="","",IFERROR(INDEX('Fragrance Projects'!$C$5:$C$64,MATCH($B100,'Fragrance Projects'!$A$5:$A$64,0)),""))</f>
        <v/>
      </c>
      <c r="D100" s="37" t="str">
        <f aca="false">IF($B100="","",IFERROR(INDEX('Fragrance Projects'!$D$5:$D$64,MATCH($B100,'Fragrance Projects'!$A$5:$A$64,0)),""))</f>
        <v/>
      </c>
      <c r="E100" s="30"/>
      <c r="F100" s="30"/>
      <c r="G100" s="34"/>
      <c r="H100" s="30"/>
      <c r="I100" s="40"/>
      <c r="J100" s="42" t="str">
        <f aca="false">IF($H100="","",$H100*$I100)</f>
        <v/>
      </c>
      <c r="K100" s="30"/>
      <c r="L100" s="30"/>
      <c r="M100" s="30"/>
      <c r="N100" s="34"/>
    </row>
    <row r="101" customFormat="false" ht="24" hidden="false" customHeight="true" outlineLevel="0" collapsed="false">
      <c r="A101" s="31"/>
      <c r="B101" s="30"/>
      <c r="C101" s="37" t="str">
        <f aca="false">IF($B101="","",IFERROR(INDEX('Fragrance Projects'!$C$5:$C$64,MATCH($B101,'Fragrance Projects'!$A$5:$A$64,0)),""))</f>
        <v/>
      </c>
      <c r="D101" s="37" t="str">
        <f aca="false">IF($B101="","",IFERROR(INDEX('Fragrance Projects'!$D$5:$D$64,MATCH($B101,'Fragrance Projects'!$A$5:$A$64,0)),""))</f>
        <v/>
      </c>
      <c r="E101" s="30"/>
      <c r="F101" s="30"/>
      <c r="G101" s="34"/>
      <c r="H101" s="30"/>
      <c r="I101" s="40"/>
      <c r="J101" s="42" t="str">
        <f aca="false">IF($H101="","",$H101*$I101)</f>
        <v/>
      </c>
      <c r="K101" s="30"/>
      <c r="L101" s="30"/>
      <c r="M101" s="30"/>
      <c r="N101" s="34"/>
    </row>
    <row r="102" customFormat="false" ht="24" hidden="false" customHeight="true" outlineLevel="0" collapsed="false">
      <c r="A102" s="31"/>
      <c r="B102" s="30"/>
      <c r="C102" s="37" t="str">
        <f aca="false">IF($B102="","",IFERROR(INDEX('Fragrance Projects'!$C$5:$C$64,MATCH($B102,'Fragrance Projects'!$A$5:$A$64,0)),""))</f>
        <v/>
      </c>
      <c r="D102" s="37" t="str">
        <f aca="false">IF($B102="","",IFERROR(INDEX('Fragrance Projects'!$D$5:$D$64,MATCH($B102,'Fragrance Projects'!$A$5:$A$64,0)),""))</f>
        <v/>
      </c>
      <c r="E102" s="30"/>
      <c r="F102" s="30"/>
      <c r="G102" s="34"/>
      <c r="H102" s="30"/>
      <c r="I102" s="40"/>
      <c r="J102" s="42" t="str">
        <f aca="false">IF($H102="","",$H102*$I102)</f>
        <v/>
      </c>
      <c r="K102" s="30"/>
      <c r="L102" s="30"/>
      <c r="M102" s="30"/>
      <c r="N102" s="34"/>
    </row>
    <row r="103" customFormat="false" ht="24" hidden="false" customHeight="true" outlineLevel="0" collapsed="false">
      <c r="A103" s="31"/>
      <c r="B103" s="30"/>
      <c r="C103" s="37" t="str">
        <f aca="false">IF($B103="","",IFERROR(INDEX('Fragrance Projects'!$C$5:$C$64,MATCH($B103,'Fragrance Projects'!$A$5:$A$64,0)),""))</f>
        <v/>
      </c>
      <c r="D103" s="37" t="str">
        <f aca="false">IF($B103="","",IFERROR(INDEX('Fragrance Projects'!$D$5:$D$64,MATCH($B103,'Fragrance Projects'!$A$5:$A$64,0)),""))</f>
        <v/>
      </c>
      <c r="E103" s="30"/>
      <c r="F103" s="30"/>
      <c r="G103" s="34"/>
      <c r="H103" s="30"/>
      <c r="I103" s="40"/>
      <c r="J103" s="42" t="str">
        <f aca="false">IF($H103="","",$H103*$I103)</f>
        <v/>
      </c>
      <c r="K103" s="30"/>
      <c r="L103" s="30"/>
      <c r="M103" s="30"/>
      <c r="N103" s="34"/>
    </row>
    <row r="104" customFormat="false" ht="24" hidden="false" customHeight="true" outlineLevel="0" collapsed="false">
      <c r="A104" s="31"/>
      <c r="B104" s="30"/>
      <c r="C104" s="37" t="str">
        <f aca="false">IF($B104="","",IFERROR(INDEX('Fragrance Projects'!$C$5:$C$64,MATCH($B104,'Fragrance Projects'!$A$5:$A$64,0)),""))</f>
        <v/>
      </c>
      <c r="D104" s="37" t="str">
        <f aca="false">IF($B104="","",IFERROR(INDEX('Fragrance Projects'!$D$5:$D$64,MATCH($B104,'Fragrance Projects'!$A$5:$A$64,0)),""))</f>
        <v/>
      </c>
      <c r="E104" s="30"/>
      <c r="F104" s="30"/>
      <c r="G104" s="34"/>
      <c r="H104" s="30"/>
      <c r="I104" s="40"/>
      <c r="J104" s="42" t="str">
        <f aca="false">IF($H104="","",$H104*$I104)</f>
        <v/>
      </c>
      <c r="K104" s="30"/>
      <c r="L104" s="30"/>
      <c r="M104" s="30"/>
      <c r="N104" s="34"/>
    </row>
    <row r="105" customFormat="false" ht="24" hidden="false" customHeight="true" outlineLevel="0" collapsed="false">
      <c r="A105" s="31"/>
      <c r="B105" s="30"/>
      <c r="C105" s="37" t="str">
        <f aca="false">IF($B105="","",IFERROR(INDEX('Fragrance Projects'!$C$5:$C$64,MATCH($B105,'Fragrance Projects'!$A$5:$A$64,0)),""))</f>
        <v/>
      </c>
      <c r="D105" s="37" t="str">
        <f aca="false">IF($B105="","",IFERROR(INDEX('Fragrance Projects'!$D$5:$D$64,MATCH($B105,'Fragrance Projects'!$A$5:$A$64,0)),""))</f>
        <v/>
      </c>
      <c r="E105" s="30"/>
      <c r="F105" s="30"/>
      <c r="G105" s="34"/>
      <c r="H105" s="30"/>
      <c r="I105" s="40"/>
      <c r="J105" s="42" t="str">
        <f aca="false">IF($H105="","",$H105*$I105)</f>
        <v/>
      </c>
      <c r="K105" s="30"/>
      <c r="L105" s="30"/>
      <c r="M105" s="30"/>
      <c r="N105" s="34"/>
    </row>
    <row r="106" customFormat="false" ht="24" hidden="false" customHeight="true" outlineLevel="0" collapsed="false">
      <c r="A106" s="31"/>
      <c r="B106" s="30"/>
      <c r="C106" s="37" t="str">
        <f aca="false">IF($B106="","",IFERROR(INDEX('Fragrance Projects'!$C$5:$C$64,MATCH($B106,'Fragrance Projects'!$A$5:$A$64,0)),""))</f>
        <v/>
      </c>
      <c r="D106" s="37" t="str">
        <f aca="false">IF($B106="","",IFERROR(INDEX('Fragrance Projects'!$D$5:$D$64,MATCH($B106,'Fragrance Projects'!$A$5:$A$64,0)),""))</f>
        <v/>
      </c>
      <c r="E106" s="30"/>
      <c r="F106" s="30"/>
      <c r="G106" s="34"/>
      <c r="H106" s="30"/>
      <c r="I106" s="40"/>
      <c r="J106" s="42" t="str">
        <f aca="false">IF($H106="","",$H106*$I106)</f>
        <v/>
      </c>
      <c r="K106" s="30"/>
      <c r="L106" s="30"/>
      <c r="M106" s="30"/>
      <c r="N106" s="34"/>
    </row>
    <row r="107" customFormat="false" ht="24" hidden="false" customHeight="true" outlineLevel="0" collapsed="false">
      <c r="A107" s="31"/>
      <c r="B107" s="30"/>
      <c r="C107" s="37" t="str">
        <f aca="false">IF($B107="","",IFERROR(INDEX('Fragrance Projects'!$C$5:$C$64,MATCH($B107,'Fragrance Projects'!$A$5:$A$64,0)),""))</f>
        <v/>
      </c>
      <c r="D107" s="37" t="str">
        <f aca="false">IF($B107="","",IFERROR(INDEX('Fragrance Projects'!$D$5:$D$64,MATCH($B107,'Fragrance Projects'!$A$5:$A$64,0)),""))</f>
        <v/>
      </c>
      <c r="E107" s="30"/>
      <c r="F107" s="30"/>
      <c r="G107" s="34"/>
      <c r="H107" s="30"/>
      <c r="I107" s="40"/>
      <c r="J107" s="42" t="str">
        <f aca="false">IF($H107="","",$H107*$I107)</f>
        <v/>
      </c>
      <c r="K107" s="30"/>
      <c r="L107" s="30"/>
      <c r="M107" s="30"/>
      <c r="N107" s="34"/>
    </row>
    <row r="108" customFormat="false" ht="24" hidden="false" customHeight="true" outlineLevel="0" collapsed="false">
      <c r="A108" s="31"/>
      <c r="B108" s="30"/>
      <c r="C108" s="37" t="str">
        <f aca="false">IF($B108="","",IFERROR(INDEX('Fragrance Projects'!$C$5:$C$64,MATCH($B108,'Fragrance Projects'!$A$5:$A$64,0)),""))</f>
        <v/>
      </c>
      <c r="D108" s="37" t="str">
        <f aca="false">IF($B108="","",IFERROR(INDEX('Fragrance Projects'!$D$5:$D$64,MATCH($B108,'Fragrance Projects'!$A$5:$A$64,0)),""))</f>
        <v/>
      </c>
      <c r="E108" s="30"/>
      <c r="F108" s="30"/>
      <c r="G108" s="34"/>
      <c r="H108" s="30"/>
      <c r="I108" s="40"/>
      <c r="J108" s="42" t="str">
        <f aca="false">IF($H108="","",$H108*$I108)</f>
        <v/>
      </c>
      <c r="K108" s="30"/>
      <c r="L108" s="30"/>
      <c r="M108" s="30"/>
      <c r="N108" s="34"/>
    </row>
    <row r="109" customFormat="false" ht="24" hidden="false" customHeight="true" outlineLevel="0" collapsed="false">
      <c r="A109" s="31"/>
      <c r="B109" s="30"/>
      <c r="C109" s="37" t="str">
        <f aca="false">IF($B109="","",IFERROR(INDEX('Fragrance Projects'!$C$5:$C$64,MATCH($B109,'Fragrance Projects'!$A$5:$A$64,0)),""))</f>
        <v/>
      </c>
      <c r="D109" s="37" t="str">
        <f aca="false">IF($B109="","",IFERROR(INDEX('Fragrance Projects'!$D$5:$D$64,MATCH($B109,'Fragrance Projects'!$A$5:$A$64,0)),""))</f>
        <v/>
      </c>
      <c r="E109" s="30"/>
      <c r="F109" s="30"/>
      <c r="G109" s="34"/>
      <c r="H109" s="30"/>
      <c r="I109" s="40"/>
      <c r="J109" s="42" t="str">
        <f aca="false">IF($H109="","",$H109*$I109)</f>
        <v/>
      </c>
      <c r="K109" s="30"/>
      <c r="L109" s="30"/>
      <c r="M109" s="30"/>
      <c r="N109" s="34"/>
    </row>
    <row r="110" customFormat="false" ht="24" hidden="false" customHeight="true" outlineLevel="0" collapsed="false">
      <c r="A110" s="31"/>
      <c r="B110" s="30"/>
      <c r="C110" s="37" t="str">
        <f aca="false">IF($B110="","",IFERROR(INDEX('Fragrance Projects'!$C$5:$C$64,MATCH($B110,'Fragrance Projects'!$A$5:$A$64,0)),""))</f>
        <v/>
      </c>
      <c r="D110" s="37" t="str">
        <f aca="false">IF($B110="","",IFERROR(INDEX('Fragrance Projects'!$D$5:$D$64,MATCH($B110,'Fragrance Projects'!$A$5:$A$64,0)),""))</f>
        <v/>
      </c>
      <c r="E110" s="30"/>
      <c r="F110" s="30"/>
      <c r="G110" s="34"/>
      <c r="H110" s="30"/>
      <c r="I110" s="40"/>
      <c r="J110" s="42" t="str">
        <f aca="false">IF($H110="","",$H110*$I110)</f>
        <v/>
      </c>
      <c r="K110" s="30"/>
      <c r="L110" s="30"/>
      <c r="M110" s="30"/>
      <c r="N110" s="34"/>
    </row>
    <row r="111" customFormat="false" ht="24" hidden="false" customHeight="true" outlineLevel="0" collapsed="false">
      <c r="A111" s="31"/>
      <c r="B111" s="30"/>
      <c r="C111" s="37" t="str">
        <f aca="false">IF($B111="","",IFERROR(INDEX('Fragrance Projects'!$C$5:$C$64,MATCH($B111,'Fragrance Projects'!$A$5:$A$64,0)),""))</f>
        <v/>
      </c>
      <c r="D111" s="37" t="str">
        <f aca="false">IF($B111="","",IFERROR(INDEX('Fragrance Projects'!$D$5:$D$64,MATCH($B111,'Fragrance Projects'!$A$5:$A$64,0)),""))</f>
        <v/>
      </c>
      <c r="E111" s="30"/>
      <c r="F111" s="30"/>
      <c r="G111" s="34"/>
      <c r="H111" s="30"/>
      <c r="I111" s="40"/>
      <c r="J111" s="42" t="str">
        <f aca="false">IF($H111="","",$H111*$I111)</f>
        <v/>
      </c>
      <c r="K111" s="30"/>
      <c r="L111" s="30"/>
      <c r="M111" s="30"/>
      <c r="N111" s="34"/>
    </row>
    <row r="112" customFormat="false" ht="24" hidden="false" customHeight="true" outlineLevel="0" collapsed="false">
      <c r="A112" s="31"/>
      <c r="B112" s="30"/>
      <c r="C112" s="37" t="str">
        <f aca="false">IF($B112="","",IFERROR(INDEX('Fragrance Projects'!$C$5:$C$64,MATCH($B112,'Fragrance Projects'!$A$5:$A$64,0)),""))</f>
        <v/>
      </c>
      <c r="D112" s="37" t="str">
        <f aca="false">IF($B112="","",IFERROR(INDEX('Fragrance Projects'!$D$5:$D$64,MATCH($B112,'Fragrance Projects'!$A$5:$A$64,0)),""))</f>
        <v/>
      </c>
      <c r="E112" s="30"/>
      <c r="F112" s="30"/>
      <c r="G112" s="34"/>
      <c r="H112" s="30"/>
      <c r="I112" s="40"/>
      <c r="J112" s="42" t="str">
        <f aca="false">IF($H112="","",$H112*$I112)</f>
        <v/>
      </c>
      <c r="K112" s="30"/>
      <c r="L112" s="30"/>
      <c r="M112" s="30"/>
      <c r="N112" s="34"/>
    </row>
    <row r="113" customFormat="false" ht="24" hidden="false" customHeight="true" outlineLevel="0" collapsed="false">
      <c r="A113" s="31"/>
      <c r="B113" s="30"/>
      <c r="C113" s="37" t="str">
        <f aca="false">IF($B113="","",IFERROR(INDEX('Fragrance Projects'!$C$5:$C$64,MATCH($B113,'Fragrance Projects'!$A$5:$A$64,0)),""))</f>
        <v/>
      </c>
      <c r="D113" s="37" t="str">
        <f aca="false">IF($B113="","",IFERROR(INDEX('Fragrance Projects'!$D$5:$D$64,MATCH($B113,'Fragrance Projects'!$A$5:$A$64,0)),""))</f>
        <v/>
      </c>
      <c r="E113" s="30"/>
      <c r="F113" s="30"/>
      <c r="G113" s="34"/>
      <c r="H113" s="30"/>
      <c r="I113" s="40"/>
      <c r="J113" s="42" t="str">
        <f aca="false">IF($H113="","",$H113*$I113)</f>
        <v/>
      </c>
      <c r="K113" s="30"/>
      <c r="L113" s="30"/>
      <c r="M113" s="30"/>
      <c r="N113" s="34"/>
    </row>
    <row r="114" customFormat="false" ht="24" hidden="false" customHeight="true" outlineLevel="0" collapsed="false">
      <c r="A114" s="31"/>
      <c r="B114" s="30"/>
      <c r="C114" s="37" t="str">
        <f aca="false">IF($B114="","",IFERROR(INDEX('Fragrance Projects'!$C$5:$C$64,MATCH($B114,'Fragrance Projects'!$A$5:$A$64,0)),""))</f>
        <v/>
      </c>
      <c r="D114" s="37" t="str">
        <f aca="false">IF($B114="","",IFERROR(INDEX('Fragrance Projects'!$D$5:$D$64,MATCH($B114,'Fragrance Projects'!$A$5:$A$64,0)),""))</f>
        <v/>
      </c>
      <c r="E114" s="30"/>
      <c r="F114" s="30"/>
      <c r="G114" s="34"/>
      <c r="H114" s="30"/>
      <c r="I114" s="40"/>
      <c r="J114" s="42" t="str">
        <f aca="false">IF($H114="","",$H114*$I114)</f>
        <v/>
      </c>
      <c r="K114" s="30"/>
      <c r="L114" s="30"/>
      <c r="M114" s="30"/>
      <c r="N114" s="34"/>
    </row>
    <row r="115" customFormat="false" ht="24" hidden="false" customHeight="true" outlineLevel="0" collapsed="false">
      <c r="A115" s="31"/>
      <c r="B115" s="30"/>
      <c r="C115" s="37" t="str">
        <f aca="false">IF($B115="","",IFERROR(INDEX('Fragrance Projects'!$C$5:$C$64,MATCH($B115,'Fragrance Projects'!$A$5:$A$64,0)),""))</f>
        <v/>
      </c>
      <c r="D115" s="37" t="str">
        <f aca="false">IF($B115="","",IFERROR(INDEX('Fragrance Projects'!$D$5:$D$64,MATCH($B115,'Fragrance Projects'!$A$5:$A$64,0)),""))</f>
        <v/>
      </c>
      <c r="E115" s="30"/>
      <c r="F115" s="30"/>
      <c r="G115" s="34"/>
      <c r="H115" s="30"/>
      <c r="I115" s="40"/>
      <c r="J115" s="42" t="str">
        <f aca="false">IF($H115="","",$H115*$I115)</f>
        <v/>
      </c>
      <c r="K115" s="30"/>
      <c r="L115" s="30"/>
      <c r="M115" s="30"/>
      <c r="N115" s="34"/>
    </row>
    <row r="116" customFormat="false" ht="24" hidden="false" customHeight="true" outlineLevel="0" collapsed="false">
      <c r="A116" s="31"/>
      <c r="B116" s="30"/>
      <c r="C116" s="37" t="str">
        <f aca="false">IF($B116="","",IFERROR(INDEX('Fragrance Projects'!$C$5:$C$64,MATCH($B116,'Fragrance Projects'!$A$5:$A$64,0)),""))</f>
        <v/>
      </c>
      <c r="D116" s="37" t="str">
        <f aca="false">IF($B116="","",IFERROR(INDEX('Fragrance Projects'!$D$5:$D$64,MATCH($B116,'Fragrance Projects'!$A$5:$A$64,0)),""))</f>
        <v/>
      </c>
      <c r="E116" s="30"/>
      <c r="F116" s="30"/>
      <c r="G116" s="34"/>
      <c r="H116" s="30"/>
      <c r="I116" s="40"/>
      <c r="J116" s="42" t="str">
        <f aca="false">IF($H116="","",$H116*$I116)</f>
        <v/>
      </c>
      <c r="K116" s="30"/>
      <c r="L116" s="30"/>
      <c r="M116" s="30"/>
      <c r="N116" s="34"/>
    </row>
    <row r="117" customFormat="false" ht="24" hidden="false" customHeight="true" outlineLevel="0" collapsed="false">
      <c r="A117" s="31"/>
      <c r="B117" s="30"/>
      <c r="C117" s="37" t="str">
        <f aca="false">IF($B117="","",IFERROR(INDEX('Fragrance Projects'!$C$5:$C$64,MATCH($B117,'Fragrance Projects'!$A$5:$A$64,0)),""))</f>
        <v/>
      </c>
      <c r="D117" s="37" t="str">
        <f aca="false">IF($B117="","",IFERROR(INDEX('Fragrance Projects'!$D$5:$D$64,MATCH($B117,'Fragrance Projects'!$A$5:$A$64,0)),""))</f>
        <v/>
      </c>
      <c r="E117" s="30"/>
      <c r="F117" s="30"/>
      <c r="G117" s="34"/>
      <c r="H117" s="30"/>
      <c r="I117" s="40"/>
      <c r="J117" s="42" t="str">
        <f aca="false">IF($H117="","",$H117*$I117)</f>
        <v/>
      </c>
      <c r="K117" s="30"/>
      <c r="L117" s="30"/>
      <c r="M117" s="30"/>
      <c r="N117" s="34"/>
    </row>
    <row r="118" customFormat="false" ht="24" hidden="false" customHeight="true" outlineLevel="0" collapsed="false">
      <c r="A118" s="31"/>
      <c r="B118" s="30"/>
      <c r="C118" s="37" t="str">
        <f aca="false">IF($B118="","",IFERROR(INDEX('Fragrance Projects'!$C$5:$C$64,MATCH($B118,'Fragrance Projects'!$A$5:$A$64,0)),""))</f>
        <v/>
      </c>
      <c r="D118" s="37" t="str">
        <f aca="false">IF($B118="","",IFERROR(INDEX('Fragrance Projects'!$D$5:$D$64,MATCH($B118,'Fragrance Projects'!$A$5:$A$64,0)),""))</f>
        <v/>
      </c>
      <c r="E118" s="30"/>
      <c r="F118" s="30"/>
      <c r="G118" s="34"/>
      <c r="H118" s="30"/>
      <c r="I118" s="40"/>
      <c r="J118" s="42" t="str">
        <f aca="false">IF($H118="","",$H118*$I118)</f>
        <v/>
      </c>
      <c r="K118" s="30"/>
      <c r="L118" s="30"/>
      <c r="M118" s="30"/>
      <c r="N118" s="34"/>
    </row>
    <row r="119" customFormat="false" ht="24" hidden="false" customHeight="true" outlineLevel="0" collapsed="false">
      <c r="A119" s="31"/>
      <c r="B119" s="30"/>
      <c r="C119" s="37" t="str">
        <f aca="false">IF($B119="","",IFERROR(INDEX('Fragrance Projects'!$C$5:$C$64,MATCH($B119,'Fragrance Projects'!$A$5:$A$64,0)),""))</f>
        <v/>
      </c>
      <c r="D119" s="37" t="str">
        <f aca="false">IF($B119="","",IFERROR(INDEX('Fragrance Projects'!$D$5:$D$64,MATCH($B119,'Fragrance Projects'!$A$5:$A$64,0)),""))</f>
        <v/>
      </c>
      <c r="E119" s="30"/>
      <c r="F119" s="30"/>
      <c r="G119" s="34"/>
      <c r="H119" s="30"/>
      <c r="I119" s="40"/>
      <c r="J119" s="42" t="str">
        <f aca="false">IF($H119="","",$H119*$I119)</f>
        <v/>
      </c>
      <c r="K119" s="30"/>
      <c r="L119" s="30"/>
      <c r="M119" s="30"/>
      <c r="N119" s="34"/>
    </row>
    <row r="120" customFormat="false" ht="24" hidden="false" customHeight="true" outlineLevel="0" collapsed="false">
      <c r="A120" s="31"/>
      <c r="B120" s="30"/>
      <c r="C120" s="37" t="str">
        <f aca="false">IF($B120="","",IFERROR(INDEX('Fragrance Projects'!$C$5:$C$64,MATCH($B120,'Fragrance Projects'!$A$5:$A$64,0)),""))</f>
        <v/>
      </c>
      <c r="D120" s="37" t="str">
        <f aca="false">IF($B120="","",IFERROR(INDEX('Fragrance Projects'!$D$5:$D$64,MATCH($B120,'Fragrance Projects'!$A$5:$A$64,0)),""))</f>
        <v/>
      </c>
      <c r="E120" s="30"/>
      <c r="F120" s="30"/>
      <c r="G120" s="34"/>
      <c r="H120" s="30"/>
      <c r="I120" s="40"/>
      <c r="J120" s="42" t="str">
        <f aca="false">IF($H120="","",$H120*$I120)</f>
        <v/>
      </c>
      <c r="K120" s="30"/>
      <c r="L120" s="30"/>
      <c r="M120" s="30"/>
      <c r="N120" s="34"/>
    </row>
    <row r="121" customFormat="false" ht="24" hidden="false" customHeight="true" outlineLevel="0" collapsed="false">
      <c r="A121" s="31"/>
      <c r="B121" s="30"/>
      <c r="C121" s="37" t="str">
        <f aca="false">IF($B121="","",IFERROR(INDEX('Fragrance Projects'!$C$5:$C$64,MATCH($B121,'Fragrance Projects'!$A$5:$A$64,0)),""))</f>
        <v/>
      </c>
      <c r="D121" s="37" t="str">
        <f aca="false">IF($B121="","",IFERROR(INDEX('Fragrance Projects'!$D$5:$D$64,MATCH($B121,'Fragrance Projects'!$A$5:$A$64,0)),""))</f>
        <v/>
      </c>
      <c r="E121" s="30"/>
      <c r="F121" s="30"/>
      <c r="G121" s="34"/>
      <c r="H121" s="30"/>
      <c r="I121" s="40"/>
      <c r="J121" s="42" t="str">
        <f aca="false">IF($H121="","",$H121*$I121)</f>
        <v/>
      </c>
      <c r="K121" s="30"/>
      <c r="L121" s="30"/>
      <c r="M121" s="30"/>
      <c r="N121" s="34"/>
    </row>
    <row r="122" customFormat="false" ht="24" hidden="false" customHeight="true" outlineLevel="0" collapsed="false">
      <c r="A122" s="31"/>
      <c r="B122" s="30"/>
      <c r="C122" s="37" t="str">
        <f aca="false">IF($B122="","",IFERROR(INDEX('Fragrance Projects'!$C$5:$C$64,MATCH($B122,'Fragrance Projects'!$A$5:$A$64,0)),""))</f>
        <v/>
      </c>
      <c r="D122" s="37" t="str">
        <f aca="false">IF($B122="","",IFERROR(INDEX('Fragrance Projects'!$D$5:$D$64,MATCH($B122,'Fragrance Projects'!$A$5:$A$64,0)),""))</f>
        <v/>
      </c>
      <c r="E122" s="30"/>
      <c r="F122" s="30"/>
      <c r="G122" s="34"/>
      <c r="H122" s="30"/>
      <c r="I122" s="40"/>
      <c r="J122" s="42" t="str">
        <f aca="false">IF($H122="","",$H122*$I122)</f>
        <v/>
      </c>
      <c r="K122" s="30"/>
      <c r="L122" s="30"/>
      <c r="M122" s="30"/>
      <c r="N122" s="34"/>
    </row>
    <row r="123" customFormat="false" ht="24" hidden="false" customHeight="true" outlineLevel="0" collapsed="false">
      <c r="A123" s="31"/>
      <c r="B123" s="30"/>
      <c r="C123" s="37" t="str">
        <f aca="false">IF($B123="","",IFERROR(INDEX('Fragrance Projects'!$C$5:$C$64,MATCH($B123,'Fragrance Projects'!$A$5:$A$64,0)),""))</f>
        <v/>
      </c>
      <c r="D123" s="37" t="str">
        <f aca="false">IF($B123="","",IFERROR(INDEX('Fragrance Projects'!$D$5:$D$64,MATCH($B123,'Fragrance Projects'!$A$5:$A$64,0)),""))</f>
        <v/>
      </c>
      <c r="E123" s="30"/>
      <c r="F123" s="30"/>
      <c r="G123" s="34"/>
      <c r="H123" s="30"/>
      <c r="I123" s="40"/>
      <c r="J123" s="42" t="str">
        <f aca="false">IF($H123="","",$H123*$I123)</f>
        <v/>
      </c>
      <c r="K123" s="30"/>
      <c r="L123" s="30"/>
      <c r="M123" s="30"/>
      <c r="N123" s="34"/>
    </row>
    <row r="124" customFormat="false" ht="24" hidden="false" customHeight="true" outlineLevel="0" collapsed="false">
      <c r="A124" s="31"/>
      <c r="B124" s="30"/>
      <c r="C124" s="37" t="str">
        <f aca="false">IF($B124="","",IFERROR(INDEX('Fragrance Projects'!$C$5:$C$64,MATCH($B124,'Fragrance Projects'!$A$5:$A$64,0)),""))</f>
        <v/>
      </c>
      <c r="D124" s="37" t="str">
        <f aca="false">IF($B124="","",IFERROR(INDEX('Fragrance Projects'!$D$5:$D$64,MATCH($B124,'Fragrance Projects'!$A$5:$A$64,0)),""))</f>
        <v/>
      </c>
      <c r="E124" s="30"/>
      <c r="F124" s="30"/>
      <c r="G124" s="34"/>
      <c r="H124" s="30"/>
      <c r="I124" s="40"/>
      <c r="J124" s="42" t="str">
        <f aca="false">IF($H124="","",$H124*$I124)</f>
        <v/>
      </c>
      <c r="K124" s="30"/>
      <c r="L124" s="30"/>
      <c r="M124" s="30"/>
      <c r="N124" s="34"/>
    </row>
    <row r="125" customFormat="false" ht="24" hidden="false" customHeight="true" outlineLevel="0" collapsed="false">
      <c r="A125" s="31"/>
      <c r="B125" s="30"/>
      <c r="C125" s="37" t="str">
        <f aca="false">IF($B125="","",IFERROR(INDEX('Fragrance Projects'!$C$5:$C$64,MATCH($B125,'Fragrance Projects'!$A$5:$A$64,0)),""))</f>
        <v/>
      </c>
      <c r="D125" s="37" t="str">
        <f aca="false">IF($B125="","",IFERROR(INDEX('Fragrance Projects'!$D$5:$D$64,MATCH($B125,'Fragrance Projects'!$A$5:$A$64,0)),""))</f>
        <v/>
      </c>
      <c r="E125" s="30"/>
      <c r="F125" s="30"/>
      <c r="G125" s="34"/>
      <c r="H125" s="30"/>
      <c r="I125" s="40"/>
      <c r="J125" s="42" t="str">
        <f aca="false">IF($H125="","",$H125*$I125)</f>
        <v/>
      </c>
      <c r="K125" s="30"/>
      <c r="L125" s="30"/>
      <c r="M125" s="30"/>
      <c r="N125" s="34"/>
    </row>
    <row r="126" customFormat="false" ht="24" hidden="false" customHeight="true" outlineLevel="0" collapsed="false">
      <c r="A126" s="31"/>
      <c r="B126" s="30"/>
      <c r="C126" s="37" t="str">
        <f aca="false">IF($B126="","",IFERROR(INDEX('Fragrance Projects'!$C$5:$C$64,MATCH($B126,'Fragrance Projects'!$A$5:$A$64,0)),""))</f>
        <v/>
      </c>
      <c r="D126" s="37" t="str">
        <f aca="false">IF($B126="","",IFERROR(INDEX('Fragrance Projects'!$D$5:$D$64,MATCH($B126,'Fragrance Projects'!$A$5:$A$64,0)),""))</f>
        <v/>
      </c>
      <c r="E126" s="30"/>
      <c r="F126" s="30"/>
      <c r="G126" s="34"/>
      <c r="H126" s="30"/>
      <c r="I126" s="40"/>
      <c r="J126" s="42" t="str">
        <f aca="false">IF($H126="","",$H126*$I126)</f>
        <v/>
      </c>
      <c r="K126" s="30"/>
      <c r="L126" s="30"/>
      <c r="M126" s="30"/>
      <c r="N126" s="34"/>
    </row>
    <row r="127" customFormat="false" ht="24" hidden="false" customHeight="true" outlineLevel="0" collapsed="false">
      <c r="A127" s="31"/>
      <c r="B127" s="30"/>
      <c r="C127" s="37" t="str">
        <f aca="false">IF($B127="","",IFERROR(INDEX('Fragrance Projects'!$C$5:$C$64,MATCH($B127,'Fragrance Projects'!$A$5:$A$64,0)),""))</f>
        <v/>
      </c>
      <c r="D127" s="37" t="str">
        <f aca="false">IF($B127="","",IFERROR(INDEX('Fragrance Projects'!$D$5:$D$64,MATCH($B127,'Fragrance Projects'!$A$5:$A$64,0)),""))</f>
        <v/>
      </c>
      <c r="E127" s="30"/>
      <c r="F127" s="30"/>
      <c r="G127" s="34"/>
      <c r="H127" s="30"/>
      <c r="I127" s="40"/>
      <c r="J127" s="42" t="str">
        <f aca="false">IF($H127="","",$H127*$I127)</f>
        <v/>
      </c>
      <c r="K127" s="30"/>
      <c r="L127" s="30"/>
      <c r="M127" s="30"/>
      <c r="N127" s="34"/>
    </row>
    <row r="128" customFormat="false" ht="24" hidden="false" customHeight="true" outlineLevel="0" collapsed="false">
      <c r="A128" s="31"/>
      <c r="B128" s="30"/>
      <c r="C128" s="37" t="str">
        <f aca="false">IF($B128="","",IFERROR(INDEX('Fragrance Projects'!$C$5:$C$64,MATCH($B128,'Fragrance Projects'!$A$5:$A$64,0)),""))</f>
        <v/>
      </c>
      <c r="D128" s="37" t="str">
        <f aca="false">IF($B128="","",IFERROR(INDEX('Fragrance Projects'!$D$5:$D$64,MATCH($B128,'Fragrance Projects'!$A$5:$A$64,0)),""))</f>
        <v/>
      </c>
      <c r="E128" s="30"/>
      <c r="F128" s="30"/>
      <c r="G128" s="34"/>
      <c r="H128" s="30"/>
      <c r="I128" s="40"/>
      <c r="J128" s="42" t="str">
        <f aca="false">IF($H128="","",$H128*$I128)</f>
        <v/>
      </c>
      <c r="K128" s="30"/>
      <c r="L128" s="30"/>
      <c r="M128" s="30"/>
      <c r="N128" s="34"/>
    </row>
    <row r="129" customFormat="false" ht="24" hidden="false" customHeight="true" outlineLevel="0" collapsed="false">
      <c r="A129" s="31"/>
      <c r="B129" s="30"/>
      <c r="C129" s="37" t="str">
        <f aca="false">IF($B129="","",IFERROR(INDEX('Fragrance Projects'!$C$5:$C$64,MATCH($B129,'Fragrance Projects'!$A$5:$A$64,0)),""))</f>
        <v/>
      </c>
      <c r="D129" s="37" t="str">
        <f aca="false">IF($B129="","",IFERROR(INDEX('Fragrance Projects'!$D$5:$D$64,MATCH($B129,'Fragrance Projects'!$A$5:$A$64,0)),""))</f>
        <v/>
      </c>
      <c r="E129" s="30"/>
      <c r="F129" s="30"/>
      <c r="G129" s="34"/>
      <c r="H129" s="30"/>
      <c r="I129" s="40"/>
      <c r="J129" s="42" t="str">
        <f aca="false">IF($H129="","",$H129*$I129)</f>
        <v/>
      </c>
      <c r="K129" s="30"/>
      <c r="L129" s="30"/>
      <c r="M129" s="30"/>
      <c r="N129" s="34"/>
    </row>
    <row r="130" customFormat="false" ht="24" hidden="false" customHeight="true" outlineLevel="0" collapsed="false">
      <c r="A130" s="31"/>
      <c r="B130" s="30"/>
      <c r="C130" s="37" t="str">
        <f aca="false">IF($B130="","",IFERROR(INDEX('Fragrance Projects'!$C$5:$C$64,MATCH($B130,'Fragrance Projects'!$A$5:$A$64,0)),""))</f>
        <v/>
      </c>
      <c r="D130" s="37" t="str">
        <f aca="false">IF($B130="","",IFERROR(INDEX('Fragrance Projects'!$D$5:$D$64,MATCH($B130,'Fragrance Projects'!$A$5:$A$64,0)),""))</f>
        <v/>
      </c>
      <c r="E130" s="30"/>
      <c r="F130" s="30"/>
      <c r="G130" s="34"/>
      <c r="H130" s="30"/>
      <c r="I130" s="40"/>
      <c r="J130" s="42" t="str">
        <f aca="false">IF($H130="","",$H130*$I130)</f>
        <v/>
      </c>
      <c r="K130" s="30"/>
      <c r="L130" s="30"/>
      <c r="M130" s="30"/>
      <c r="N130" s="34"/>
    </row>
    <row r="131" customFormat="false" ht="24" hidden="false" customHeight="true" outlineLevel="0" collapsed="false">
      <c r="A131" s="31"/>
      <c r="B131" s="30"/>
      <c r="C131" s="37" t="str">
        <f aca="false">IF($B131="","",IFERROR(INDEX('Fragrance Projects'!$C$5:$C$64,MATCH($B131,'Fragrance Projects'!$A$5:$A$64,0)),""))</f>
        <v/>
      </c>
      <c r="D131" s="37" t="str">
        <f aca="false">IF($B131="","",IFERROR(INDEX('Fragrance Projects'!$D$5:$D$64,MATCH($B131,'Fragrance Projects'!$A$5:$A$64,0)),""))</f>
        <v/>
      </c>
      <c r="E131" s="30"/>
      <c r="F131" s="30"/>
      <c r="G131" s="34"/>
      <c r="H131" s="30"/>
      <c r="I131" s="40"/>
      <c r="J131" s="42" t="str">
        <f aca="false">IF($H131="","",$H131*$I131)</f>
        <v/>
      </c>
      <c r="K131" s="30"/>
      <c r="L131" s="30"/>
      <c r="M131" s="30"/>
      <c r="N131" s="34"/>
    </row>
    <row r="132" customFormat="false" ht="24" hidden="false" customHeight="true" outlineLevel="0" collapsed="false">
      <c r="A132" s="31"/>
      <c r="B132" s="30"/>
      <c r="C132" s="37" t="str">
        <f aca="false">IF($B132="","",IFERROR(INDEX('Fragrance Projects'!$C$5:$C$64,MATCH($B132,'Fragrance Projects'!$A$5:$A$64,0)),""))</f>
        <v/>
      </c>
      <c r="D132" s="37" t="str">
        <f aca="false">IF($B132="","",IFERROR(INDEX('Fragrance Projects'!$D$5:$D$64,MATCH($B132,'Fragrance Projects'!$A$5:$A$64,0)),""))</f>
        <v/>
      </c>
      <c r="E132" s="30"/>
      <c r="F132" s="30"/>
      <c r="G132" s="34"/>
      <c r="H132" s="30"/>
      <c r="I132" s="40"/>
      <c r="J132" s="42" t="str">
        <f aca="false">IF($H132="","",$H132*$I132)</f>
        <v/>
      </c>
      <c r="K132" s="30"/>
      <c r="L132" s="30"/>
      <c r="M132" s="30"/>
      <c r="N132" s="34"/>
    </row>
    <row r="133" customFormat="false" ht="24" hidden="false" customHeight="true" outlineLevel="0" collapsed="false">
      <c r="A133" s="31"/>
      <c r="B133" s="30"/>
      <c r="C133" s="37" t="str">
        <f aca="false">IF($B133="","",IFERROR(INDEX('Fragrance Projects'!$C$5:$C$64,MATCH($B133,'Fragrance Projects'!$A$5:$A$64,0)),""))</f>
        <v/>
      </c>
      <c r="D133" s="37" t="str">
        <f aca="false">IF($B133="","",IFERROR(INDEX('Fragrance Projects'!$D$5:$D$64,MATCH($B133,'Fragrance Projects'!$A$5:$A$64,0)),""))</f>
        <v/>
      </c>
      <c r="E133" s="30"/>
      <c r="F133" s="30"/>
      <c r="G133" s="34"/>
      <c r="H133" s="30"/>
      <c r="I133" s="40"/>
      <c r="J133" s="42" t="str">
        <f aca="false">IF($H133="","",$H133*$I133)</f>
        <v/>
      </c>
      <c r="K133" s="30"/>
      <c r="L133" s="30"/>
      <c r="M133" s="30"/>
      <c r="N133" s="34"/>
    </row>
    <row r="134" customFormat="false" ht="24" hidden="false" customHeight="true" outlineLevel="0" collapsed="false">
      <c r="A134" s="31"/>
      <c r="B134" s="30"/>
      <c r="C134" s="37" t="str">
        <f aca="false">IF($B134="","",IFERROR(INDEX('Fragrance Projects'!$C$5:$C$64,MATCH($B134,'Fragrance Projects'!$A$5:$A$64,0)),""))</f>
        <v/>
      </c>
      <c r="D134" s="37" t="str">
        <f aca="false">IF($B134="","",IFERROR(INDEX('Fragrance Projects'!$D$5:$D$64,MATCH($B134,'Fragrance Projects'!$A$5:$A$64,0)),""))</f>
        <v/>
      </c>
      <c r="E134" s="30"/>
      <c r="F134" s="30"/>
      <c r="G134" s="34"/>
      <c r="H134" s="30"/>
      <c r="I134" s="40"/>
      <c r="J134" s="42" t="str">
        <f aca="false">IF($H134="","",$H134*$I134)</f>
        <v/>
      </c>
      <c r="K134" s="30"/>
      <c r="L134" s="30"/>
      <c r="M134" s="30"/>
      <c r="N134" s="34"/>
    </row>
    <row r="135" customFormat="false" ht="24" hidden="false" customHeight="true" outlineLevel="0" collapsed="false">
      <c r="A135" s="31"/>
      <c r="B135" s="30"/>
      <c r="C135" s="37" t="str">
        <f aca="false">IF($B135="","",IFERROR(INDEX('Fragrance Projects'!$C$5:$C$64,MATCH($B135,'Fragrance Projects'!$A$5:$A$64,0)),""))</f>
        <v/>
      </c>
      <c r="D135" s="37" t="str">
        <f aca="false">IF($B135="","",IFERROR(INDEX('Fragrance Projects'!$D$5:$D$64,MATCH($B135,'Fragrance Projects'!$A$5:$A$64,0)),""))</f>
        <v/>
      </c>
      <c r="E135" s="30"/>
      <c r="F135" s="30"/>
      <c r="G135" s="34"/>
      <c r="H135" s="30"/>
      <c r="I135" s="40"/>
      <c r="J135" s="42" t="str">
        <f aca="false">IF($H135="","",$H135*$I135)</f>
        <v/>
      </c>
      <c r="K135" s="30"/>
      <c r="L135" s="30"/>
      <c r="M135" s="30"/>
      <c r="N135" s="34"/>
    </row>
    <row r="136" customFormat="false" ht="24" hidden="false" customHeight="true" outlineLevel="0" collapsed="false">
      <c r="A136" s="31"/>
      <c r="B136" s="30"/>
      <c r="C136" s="37" t="str">
        <f aca="false">IF($B136="","",IFERROR(INDEX('Fragrance Projects'!$C$5:$C$64,MATCH($B136,'Fragrance Projects'!$A$5:$A$64,0)),""))</f>
        <v/>
      </c>
      <c r="D136" s="37" t="str">
        <f aca="false">IF($B136="","",IFERROR(INDEX('Fragrance Projects'!$D$5:$D$64,MATCH($B136,'Fragrance Projects'!$A$5:$A$64,0)),""))</f>
        <v/>
      </c>
      <c r="E136" s="30"/>
      <c r="F136" s="30"/>
      <c r="G136" s="34"/>
      <c r="H136" s="30"/>
      <c r="I136" s="40"/>
      <c r="J136" s="42" t="str">
        <f aca="false">IF($H136="","",$H136*$I136)</f>
        <v/>
      </c>
      <c r="K136" s="30"/>
      <c r="L136" s="30"/>
      <c r="M136" s="30"/>
      <c r="N136" s="34"/>
    </row>
    <row r="137" customFormat="false" ht="24" hidden="false" customHeight="true" outlineLevel="0" collapsed="false">
      <c r="A137" s="31"/>
      <c r="B137" s="30"/>
      <c r="C137" s="37" t="str">
        <f aca="false">IF($B137="","",IFERROR(INDEX('Fragrance Projects'!$C$5:$C$64,MATCH($B137,'Fragrance Projects'!$A$5:$A$64,0)),""))</f>
        <v/>
      </c>
      <c r="D137" s="37" t="str">
        <f aca="false">IF($B137="","",IFERROR(INDEX('Fragrance Projects'!$D$5:$D$64,MATCH($B137,'Fragrance Projects'!$A$5:$A$64,0)),""))</f>
        <v/>
      </c>
      <c r="E137" s="30"/>
      <c r="F137" s="30"/>
      <c r="G137" s="34"/>
      <c r="H137" s="30"/>
      <c r="I137" s="40"/>
      <c r="J137" s="42" t="str">
        <f aca="false">IF($H137="","",$H137*$I137)</f>
        <v/>
      </c>
      <c r="K137" s="30"/>
      <c r="L137" s="30"/>
      <c r="M137" s="30"/>
      <c r="N137" s="34"/>
    </row>
    <row r="138" customFormat="false" ht="24" hidden="false" customHeight="true" outlineLevel="0" collapsed="false">
      <c r="A138" s="31"/>
      <c r="B138" s="30"/>
      <c r="C138" s="37" t="str">
        <f aca="false">IF($B138="","",IFERROR(INDEX('Fragrance Projects'!$C$5:$C$64,MATCH($B138,'Fragrance Projects'!$A$5:$A$64,0)),""))</f>
        <v/>
      </c>
      <c r="D138" s="37" t="str">
        <f aca="false">IF($B138="","",IFERROR(INDEX('Fragrance Projects'!$D$5:$D$64,MATCH($B138,'Fragrance Projects'!$A$5:$A$64,0)),""))</f>
        <v/>
      </c>
      <c r="E138" s="30"/>
      <c r="F138" s="30"/>
      <c r="G138" s="34"/>
      <c r="H138" s="30"/>
      <c r="I138" s="40"/>
      <c r="J138" s="42" t="str">
        <f aca="false">IF($H138="","",$H138*$I138)</f>
        <v/>
      </c>
      <c r="K138" s="30"/>
      <c r="L138" s="30"/>
      <c r="M138" s="30"/>
      <c r="N138" s="34"/>
    </row>
    <row r="139" customFormat="false" ht="24" hidden="false" customHeight="true" outlineLevel="0" collapsed="false">
      <c r="A139" s="31"/>
      <c r="B139" s="30"/>
      <c r="C139" s="37" t="str">
        <f aca="false">IF($B139="","",IFERROR(INDEX('Fragrance Projects'!$C$5:$C$64,MATCH($B139,'Fragrance Projects'!$A$5:$A$64,0)),""))</f>
        <v/>
      </c>
      <c r="D139" s="37" t="str">
        <f aca="false">IF($B139="","",IFERROR(INDEX('Fragrance Projects'!$D$5:$D$64,MATCH($B139,'Fragrance Projects'!$A$5:$A$64,0)),""))</f>
        <v/>
      </c>
      <c r="E139" s="30"/>
      <c r="F139" s="30"/>
      <c r="G139" s="34"/>
      <c r="H139" s="30"/>
      <c r="I139" s="40"/>
      <c r="J139" s="42" t="str">
        <f aca="false">IF($H139="","",$H139*$I139)</f>
        <v/>
      </c>
      <c r="K139" s="30"/>
      <c r="L139" s="30"/>
      <c r="M139" s="30"/>
      <c r="N139" s="34"/>
    </row>
    <row r="140" customFormat="false" ht="24" hidden="false" customHeight="true" outlineLevel="0" collapsed="false">
      <c r="A140" s="31"/>
      <c r="B140" s="30"/>
      <c r="C140" s="37" t="str">
        <f aca="false">IF($B140="","",IFERROR(INDEX('Fragrance Projects'!$C$5:$C$64,MATCH($B140,'Fragrance Projects'!$A$5:$A$64,0)),""))</f>
        <v/>
      </c>
      <c r="D140" s="37" t="str">
        <f aca="false">IF($B140="","",IFERROR(INDEX('Fragrance Projects'!$D$5:$D$64,MATCH($B140,'Fragrance Projects'!$A$5:$A$64,0)),""))</f>
        <v/>
      </c>
      <c r="E140" s="30"/>
      <c r="F140" s="30"/>
      <c r="G140" s="34"/>
      <c r="H140" s="30"/>
      <c r="I140" s="40"/>
      <c r="J140" s="42" t="str">
        <f aca="false">IF($H140="","",$H140*$I140)</f>
        <v/>
      </c>
      <c r="K140" s="30"/>
      <c r="L140" s="30"/>
      <c r="M140" s="30"/>
      <c r="N140" s="34"/>
    </row>
    <row r="141" customFormat="false" ht="24" hidden="false" customHeight="true" outlineLevel="0" collapsed="false">
      <c r="A141" s="31"/>
      <c r="B141" s="30"/>
      <c r="C141" s="37" t="str">
        <f aca="false">IF($B141="","",IFERROR(INDEX('Fragrance Projects'!$C$5:$C$64,MATCH($B141,'Fragrance Projects'!$A$5:$A$64,0)),""))</f>
        <v/>
      </c>
      <c r="D141" s="37" t="str">
        <f aca="false">IF($B141="","",IFERROR(INDEX('Fragrance Projects'!$D$5:$D$64,MATCH($B141,'Fragrance Projects'!$A$5:$A$64,0)),""))</f>
        <v/>
      </c>
      <c r="E141" s="30"/>
      <c r="F141" s="30"/>
      <c r="G141" s="34"/>
      <c r="H141" s="30"/>
      <c r="I141" s="40"/>
      <c r="J141" s="42" t="str">
        <f aca="false">IF($H141="","",$H141*$I141)</f>
        <v/>
      </c>
      <c r="K141" s="30"/>
      <c r="L141" s="30"/>
      <c r="M141" s="30"/>
      <c r="N141" s="34"/>
    </row>
    <row r="142" customFormat="false" ht="24" hidden="false" customHeight="true" outlineLevel="0" collapsed="false">
      <c r="A142" s="31"/>
      <c r="B142" s="30"/>
      <c r="C142" s="37" t="str">
        <f aca="false">IF($B142="","",IFERROR(INDEX('Fragrance Projects'!$C$5:$C$64,MATCH($B142,'Fragrance Projects'!$A$5:$A$64,0)),""))</f>
        <v/>
      </c>
      <c r="D142" s="37" t="str">
        <f aca="false">IF($B142="","",IFERROR(INDEX('Fragrance Projects'!$D$5:$D$64,MATCH($B142,'Fragrance Projects'!$A$5:$A$64,0)),""))</f>
        <v/>
      </c>
      <c r="E142" s="30"/>
      <c r="F142" s="30"/>
      <c r="G142" s="34"/>
      <c r="H142" s="30"/>
      <c r="I142" s="40"/>
      <c r="J142" s="42" t="str">
        <f aca="false">IF($H142="","",$H142*$I142)</f>
        <v/>
      </c>
      <c r="K142" s="30"/>
      <c r="L142" s="30"/>
      <c r="M142" s="30"/>
      <c r="N142" s="34"/>
    </row>
    <row r="143" customFormat="false" ht="24" hidden="false" customHeight="true" outlineLevel="0" collapsed="false">
      <c r="A143" s="31"/>
      <c r="B143" s="30"/>
      <c r="C143" s="37" t="str">
        <f aca="false">IF($B143="","",IFERROR(INDEX('Fragrance Projects'!$C$5:$C$64,MATCH($B143,'Fragrance Projects'!$A$5:$A$64,0)),""))</f>
        <v/>
      </c>
      <c r="D143" s="37" t="str">
        <f aca="false">IF($B143="","",IFERROR(INDEX('Fragrance Projects'!$D$5:$D$64,MATCH($B143,'Fragrance Projects'!$A$5:$A$64,0)),""))</f>
        <v/>
      </c>
      <c r="E143" s="30"/>
      <c r="F143" s="30"/>
      <c r="G143" s="34"/>
      <c r="H143" s="30"/>
      <c r="I143" s="40"/>
      <c r="J143" s="42" t="str">
        <f aca="false">IF($H143="","",$H143*$I143)</f>
        <v/>
      </c>
      <c r="K143" s="30"/>
      <c r="L143" s="30"/>
      <c r="M143" s="30"/>
      <c r="N143" s="34"/>
    </row>
    <row r="144" customFormat="false" ht="24" hidden="false" customHeight="true" outlineLevel="0" collapsed="false">
      <c r="A144" s="31"/>
      <c r="B144" s="30"/>
      <c r="C144" s="37" t="str">
        <f aca="false">IF($B144="","",IFERROR(INDEX('Fragrance Projects'!$C$5:$C$64,MATCH($B144,'Fragrance Projects'!$A$5:$A$64,0)),""))</f>
        <v/>
      </c>
      <c r="D144" s="37" t="str">
        <f aca="false">IF($B144="","",IFERROR(INDEX('Fragrance Projects'!$D$5:$D$64,MATCH($B144,'Fragrance Projects'!$A$5:$A$64,0)),""))</f>
        <v/>
      </c>
      <c r="E144" s="30"/>
      <c r="F144" s="30"/>
      <c r="G144" s="34"/>
      <c r="H144" s="30"/>
      <c r="I144" s="40"/>
      <c r="J144" s="42" t="str">
        <f aca="false">IF($H144="","",$H144*$I144)</f>
        <v/>
      </c>
      <c r="K144" s="30"/>
      <c r="L144" s="30"/>
      <c r="M144" s="30"/>
      <c r="N144" s="34"/>
    </row>
    <row r="145" customFormat="false" ht="24" hidden="false" customHeight="true" outlineLevel="0" collapsed="false">
      <c r="A145" s="31"/>
      <c r="B145" s="30"/>
      <c r="C145" s="37" t="str">
        <f aca="false">IF($B145="","",IFERROR(INDEX('Fragrance Projects'!$C$5:$C$64,MATCH($B145,'Fragrance Projects'!$A$5:$A$64,0)),""))</f>
        <v/>
      </c>
      <c r="D145" s="37" t="str">
        <f aca="false">IF($B145="","",IFERROR(INDEX('Fragrance Projects'!$D$5:$D$64,MATCH($B145,'Fragrance Projects'!$A$5:$A$64,0)),""))</f>
        <v/>
      </c>
      <c r="E145" s="30"/>
      <c r="F145" s="30"/>
      <c r="G145" s="34"/>
      <c r="H145" s="30"/>
      <c r="I145" s="40"/>
      <c r="J145" s="42" t="str">
        <f aca="false">IF($H145="","",$H145*$I145)</f>
        <v/>
      </c>
      <c r="K145" s="30"/>
      <c r="L145" s="30"/>
      <c r="M145" s="30"/>
      <c r="N145" s="34"/>
    </row>
    <row r="146" customFormat="false" ht="24" hidden="false" customHeight="true" outlineLevel="0" collapsed="false">
      <c r="A146" s="31"/>
      <c r="B146" s="30"/>
      <c r="C146" s="37" t="str">
        <f aca="false">IF($B146="","",IFERROR(INDEX('Fragrance Projects'!$C$5:$C$64,MATCH($B146,'Fragrance Projects'!$A$5:$A$64,0)),""))</f>
        <v/>
      </c>
      <c r="D146" s="37" t="str">
        <f aca="false">IF($B146="","",IFERROR(INDEX('Fragrance Projects'!$D$5:$D$64,MATCH($B146,'Fragrance Projects'!$A$5:$A$64,0)),""))</f>
        <v/>
      </c>
      <c r="E146" s="30"/>
      <c r="F146" s="30"/>
      <c r="G146" s="34"/>
      <c r="H146" s="30"/>
      <c r="I146" s="40"/>
      <c r="J146" s="42" t="str">
        <f aca="false">IF($H146="","",$H146*$I146)</f>
        <v/>
      </c>
      <c r="K146" s="30"/>
      <c r="L146" s="30"/>
      <c r="M146" s="30"/>
      <c r="N146" s="34"/>
    </row>
    <row r="147" customFormat="false" ht="24" hidden="false" customHeight="true" outlineLevel="0" collapsed="false">
      <c r="A147" s="31"/>
      <c r="B147" s="30"/>
      <c r="C147" s="37" t="str">
        <f aca="false">IF($B147="","",IFERROR(INDEX('Fragrance Projects'!$C$5:$C$64,MATCH($B147,'Fragrance Projects'!$A$5:$A$64,0)),""))</f>
        <v/>
      </c>
      <c r="D147" s="37" t="str">
        <f aca="false">IF($B147="","",IFERROR(INDEX('Fragrance Projects'!$D$5:$D$64,MATCH($B147,'Fragrance Projects'!$A$5:$A$64,0)),""))</f>
        <v/>
      </c>
      <c r="E147" s="30"/>
      <c r="F147" s="30"/>
      <c r="G147" s="34"/>
      <c r="H147" s="30"/>
      <c r="I147" s="40"/>
      <c r="J147" s="42" t="str">
        <f aca="false">IF($H147="","",$H147*$I147)</f>
        <v/>
      </c>
      <c r="K147" s="30"/>
      <c r="L147" s="30"/>
      <c r="M147" s="30"/>
      <c r="N147" s="34"/>
    </row>
    <row r="148" customFormat="false" ht="24" hidden="false" customHeight="true" outlineLevel="0" collapsed="false">
      <c r="A148" s="31"/>
      <c r="B148" s="30"/>
      <c r="C148" s="37" t="str">
        <f aca="false">IF($B148="","",IFERROR(INDEX('Fragrance Projects'!$C$5:$C$64,MATCH($B148,'Fragrance Projects'!$A$5:$A$64,0)),""))</f>
        <v/>
      </c>
      <c r="D148" s="37" t="str">
        <f aca="false">IF($B148="","",IFERROR(INDEX('Fragrance Projects'!$D$5:$D$64,MATCH($B148,'Fragrance Projects'!$A$5:$A$64,0)),""))</f>
        <v/>
      </c>
      <c r="E148" s="30"/>
      <c r="F148" s="30"/>
      <c r="G148" s="34"/>
      <c r="H148" s="30"/>
      <c r="I148" s="40"/>
      <c r="J148" s="42" t="str">
        <f aca="false">IF($H148="","",$H148*$I148)</f>
        <v/>
      </c>
      <c r="K148" s="30"/>
      <c r="L148" s="30"/>
      <c r="M148" s="30"/>
      <c r="N148" s="34"/>
    </row>
    <row r="149" customFormat="false" ht="24" hidden="false" customHeight="true" outlineLevel="0" collapsed="false">
      <c r="A149" s="31"/>
      <c r="B149" s="30"/>
      <c r="C149" s="37" t="str">
        <f aca="false">IF($B149="","",IFERROR(INDEX('Fragrance Projects'!$C$5:$C$64,MATCH($B149,'Fragrance Projects'!$A$5:$A$64,0)),""))</f>
        <v/>
      </c>
      <c r="D149" s="37" t="str">
        <f aca="false">IF($B149="","",IFERROR(INDEX('Fragrance Projects'!$D$5:$D$64,MATCH($B149,'Fragrance Projects'!$A$5:$A$64,0)),""))</f>
        <v/>
      </c>
      <c r="E149" s="30"/>
      <c r="F149" s="30"/>
      <c r="G149" s="34"/>
      <c r="H149" s="30"/>
      <c r="I149" s="40"/>
      <c r="J149" s="42" t="str">
        <f aca="false">IF($H149="","",$H149*$I149)</f>
        <v/>
      </c>
      <c r="K149" s="30"/>
      <c r="L149" s="30"/>
      <c r="M149" s="30"/>
      <c r="N149" s="34"/>
    </row>
    <row r="150" customFormat="false" ht="24" hidden="false" customHeight="true" outlineLevel="0" collapsed="false">
      <c r="A150" s="31"/>
      <c r="B150" s="30"/>
      <c r="C150" s="37" t="str">
        <f aca="false">IF($B150="","",IFERROR(INDEX('Fragrance Projects'!$C$5:$C$64,MATCH($B150,'Fragrance Projects'!$A$5:$A$64,0)),""))</f>
        <v/>
      </c>
      <c r="D150" s="37" t="str">
        <f aca="false">IF($B150="","",IFERROR(INDEX('Fragrance Projects'!$D$5:$D$64,MATCH($B150,'Fragrance Projects'!$A$5:$A$64,0)),""))</f>
        <v/>
      </c>
      <c r="E150" s="30"/>
      <c r="F150" s="30"/>
      <c r="G150" s="34"/>
      <c r="H150" s="30"/>
      <c r="I150" s="40"/>
      <c r="J150" s="42" t="str">
        <f aca="false">IF($H150="","",$H150*$I150)</f>
        <v/>
      </c>
      <c r="K150" s="30"/>
      <c r="L150" s="30"/>
      <c r="M150" s="30"/>
      <c r="N150" s="34"/>
    </row>
    <row r="151" customFormat="false" ht="24" hidden="false" customHeight="true" outlineLevel="0" collapsed="false">
      <c r="A151" s="31"/>
      <c r="B151" s="30"/>
      <c r="C151" s="37" t="str">
        <f aca="false">IF($B151="","",IFERROR(INDEX('Fragrance Projects'!$C$5:$C$64,MATCH($B151,'Fragrance Projects'!$A$5:$A$64,0)),""))</f>
        <v/>
      </c>
      <c r="D151" s="37" t="str">
        <f aca="false">IF($B151="","",IFERROR(INDEX('Fragrance Projects'!$D$5:$D$64,MATCH($B151,'Fragrance Projects'!$A$5:$A$64,0)),""))</f>
        <v/>
      </c>
      <c r="E151" s="30"/>
      <c r="F151" s="30"/>
      <c r="G151" s="34"/>
      <c r="H151" s="30"/>
      <c r="I151" s="40"/>
      <c r="J151" s="42" t="str">
        <f aca="false">IF($H151="","",$H151*$I151)</f>
        <v/>
      </c>
      <c r="K151" s="30"/>
      <c r="L151" s="30"/>
      <c r="M151" s="30"/>
      <c r="N151" s="34"/>
    </row>
    <row r="152" customFormat="false" ht="24" hidden="false" customHeight="true" outlineLevel="0" collapsed="false">
      <c r="A152" s="31"/>
      <c r="B152" s="30"/>
      <c r="C152" s="37" t="str">
        <f aca="false">IF($B152="","",IFERROR(INDEX('Fragrance Projects'!$C$5:$C$64,MATCH($B152,'Fragrance Projects'!$A$5:$A$64,0)),""))</f>
        <v/>
      </c>
      <c r="D152" s="37" t="str">
        <f aca="false">IF($B152="","",IFERROR(INDEX('Fragrance Projects'!$D$5:$D$64,MATCH($B152,'Fragrance Projects'!$A$5:$A$64,0)),""))</f>
        <v/>
      </c>
      <c r="E152" s="30"/>
      <c r="F152" s="30"/>
      <c r="G152" s="34"/>
      <c r="H152" s="30"/>
      <c r="I152" s="40"/>
      <c r="J152" s="42" t="str">
        <f aca="false">IF($H152="","",$H152*$I152)</f>
        <v/>
      </c>
      <c r="K152" s="30"/>
      <c r="L152" s="30"/>
      <c r="M152" s="30"/>
      <c r="N152" s="34"/>
    </row>
    <row r="153" customFormat="false" ht="24" hidden="false" customHeight="true" outlineLevel="0" collapsed="false">
      <c r="A153" s="31"/>
      <c r="B153" s="30"/>
      <c r="C153" s="37" t="str">
        <f aca="false">IF($B153="","",IFERROR(INDEX('Fragrance Projects'!$C$5:$C$64,MATCH($B153,'Fragrance Projects'!$A$5:$A$64,0)),""))</f>
        <v/>
      </c>
      <c r="D153" s="37" t="str">
        <f aca="false">IF($B153="","",IFERROR(INDEX('Fragrance Projects'!$D$5:$D$64,MATCH($B153,'Fragrance Projects'!$A$5:$A$64,0)),""))</f>
        <v/>
      </c>
      <c r="E153" s="30"/>
      <c r="F153" s="30"/>
      <c r="G153" s="34"/>
      <c r="H153" s="30"/>
      <c r="I153" s="40"/>
      <c r="J153" s="42" t="str">
        <f aca="false">IF($H153="","",$H153*$I153)</f>
        <v/>
      </c>
      <c r="K153" s="30"/>
      <c r="L153" s="30"/>
      <c r="M153" s="30"/>
      <c r="N153" s="34"/>
    </row>
    <row r="154" customFormat="false" ht="24" hidden="false" customHeight="true" outlineLevel="0" collapsed="false">
      <c r="A154" s="31"/>
      <c r="B154" s="30"/>
      <c r="C154" s="37" t="str">
        <f aca="false">IF($B154="","",IFERROR(INDEX('Fragrance Projects'!$C$5:$C$64,MATCH($B154,'Fragrance Projects'!$A$5:$A$64,0)),""))</f>
        <v/>
      </c>
      <c r="D154" s="37" t="str">
        <f aca="false">IF($B154="","",IFERROR(INDEX('Fragrance Projects'!$D$5:$D$64,MATCH($B154,'Fragrance Projects'!$A$5:$A$64,0)),""))</f>
        <v/>
      </c>
      <c r="E154" s="30"/>
      <c r="F154" s="30"/>
      <c r="G154" s="34"/>
      <c r="H154" s="30"/>
      <c r="I154" s="40"/>
      <c r="J154" s="42" t="str">
        <f aca="false">IF($H154="","",$H154*$I154)</f>
        <v/>
      </c>
      <c r="K154" s="30"/>
      <c r="L154" s="30"/>
      <c r="M154" s="30"/>
      <c r="N154" s="34"/>
    </row>
  </sheetData>
  <sheetProtection sheet="true" formatCells="false" formatColumns="false" formatRows="false" insertRows="false" sort="false" autoFilter="false"/>
  <mergeCells count="5">
    <mergeCell ref="A1:N1"/>
    <mergeCell ref="A2:N2"/>
    <mergeCell ref="B3:C3"/>
    <mergeCell ref="F3:G3"/>
    <mergeCell ref="J3:K3"/>
  </mergeCells>
  <conditionalFormatting sqref="K5:K154">
    <cfRule type="expression" priority="2" aboveAverage="0" equalAverage="0" bottom="0" percent="0" rank="0" text="" dxfId="3">
      <formula>K5="No"</formula>
    </cfRule>
  </conditionalFormatting>
  <conditionalFormatting sqref="L5:L154">
    <cfRule type="expression" priority="3" aboveAverage="0" equalAverage="0" bottom="0" percent="0" rank="0" text="" dxfId="4">
      <formula>L5="No"</formula>
    </cfRule>
  </conditionalFormatting>
  <dataValidations count="5">
    <dataValidation allowBlank="true" error="Please choose a value from the dropdown list." errorStyle="stop" errorTitle="Invalid entry" operator="between" showDropDown="false" showErrorMessage="true" showInputMessage="false" sqref="B5:B154" type="list">
      <formula1>'Fragrance Projects'!$A$5:$A$64</formula1>
      <formula2>0</formula2>
    </dataValidation>
    <dataValidation allowBlank="true" error="Please choose a value from the dropdown list." errorStyle="stop" errorTitle="Invalid entry" operator="between" showDropDown="false" showErrorMessage="true" showInputMessage="false" sqref="E5:E154" type="list">
      <formula1>Lists!$T$2:$T$18</formula1>
      <formula2>0</formula2>
    </dataValidation>
    <dataValidation allowBlank="true" error="Please choose a value from the dropdown list." errorStyle="stop" errorTitle="Invalid entry" operator="between" showDropDown="false" showErrorMessage="true" showInputMessage="false" sqref="K5:K154" type="list">
      <formula1>Lists!$F$2:$F$3</formula1>
      <formula2>0</formula2>
    </dataValidation>
    <dataValidation allowBlank="true" error="Please choose a value from the dropdown list." errorStyle="stop" errorTitle="Invalid entry" operator="between" showDropDown="false" showErrorMessage="true" showInputMessage="false" sqref="L5:L154" type="list">
      <formula1>Lists!$F$2:$F$3</formula1>
      <formula2>0</formula2>
    </dataValidation>
    <dataValidation allowBlank="true" error="Please choose a value from the dropdown list." errorStyle="stop" errorTitle="Invalid entry" operator="between" showDropDown="false" showErrorMessage="true" showInputMessage="false" sqref="M5:M154" type="list">
      <formula1>Lists!$U$2:$U$4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15"/>
    <col collapsed="false" customWidth="true" hidden="false" outlineLevel="0" max="2" min="2" style="3" width="9"/>
    <col collapsed="false" customWidth="true" hidden="false" outlineLevel="0" max="3" min="3" style="3" width="11"/>
    <col collapsed="false" customWidth="true" hidden="false" outlineLevel="0" max="4" min="4" style="3" width="12"/>
    <col collapsed="false" customWidth="true" hidden="false" outlineLevel="0" max="5" min="5" style="3" width="11"/>
    <col collapsed="false" customWidth="true" hidden="false" outlineLevel="0" max="9" min="6" style="3" width="12"/>
    <col collapsed="false" customWidth="true" hidden="false" outlineLevel="0" max="10" min="10" style="3" width="13"/>
    <col collapsed="false" customWidth="true" hidden="false" outlineLevel="0" max="11" min="11" style="3" width="12"/>
    <col collapsed="false" customWidth="true" hidden="false" outlineLevel="0" max="12" min="12" style="3" width="13"/>
    <col collapsed="false" customWidth="true" hidden="false" outlineLevel="0" max="13" min="13" style="3" width="11"/>
    <col collapsed="false" customWidth="true" hidden="false" outlineLevel="0" max="14" min="14" style="3" width="14"/>
    <col collapsed="false" customWidth="true" hidden="false" outlineLevel="0" max="15" min="15" style="3" width="11"/>
    <col collapsed="false" customWidth="true" hidden="false" outlineLevel="0" max="16" min="16" style="3" width="28"/>
  </cols>
  <sheetData>
    <row r="1" customFormat="false" ht="33.75" hidden="false" customHeight="true" outlineLevel="0" collapsed="false">
      <c r="A1" s="4" t="s">
        <v>334</v>
      </c>
      <c r="B1" s="4"/>
      <c r="C1" s="4"/>
      <c r="D1" s="4"/>
      <c r="E1" s="4"/>
      <c r="F1" s="4"/>
      <c r="G1" s="4"/>
      <c r="H1" s="4"/>
      <c r="I1" s="4"/>
      <c r="J1" s="4"/>
      <c r="K1" s="4"/>
      <c r="L1" s="4"/>
      <c r="M1" s="4"/>
      <c r="N1" s="4"/>
      <c r="O1" s="4"/>
      <c r="P1" s="4"/>
    </row>
    <row r="2" customFormat="false" ht="19.5" hidden="false" customHeight="true" outlineLevel="0" collapsed="false">
      <c r="A2" s="25" t="s">
        <v>335</v>
      </c>
      <c r="B2" s="25"/>
      <c r="C2" s="25"/>
      <c r="D2" s="25"/>
      <c r="E2" s="25"/>
      <c r="F2" s="25"/>
      <c r="G2" s="25"/>
      <c r="H2" s="25"/>
      <c r="I2" s="25"/>
      <c r="J2" s="25"/>
      <c r="K2" s="25"/>
      <c r="L2" s="25"/>
      <c r="M2" s="25"/>
      <c r="N2" s="25"/>
      <c r="O2" s="25"/>
      <c r="P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50</v>
      </c>
      <c r="B4" s="17" t="s">
        <v>204</v>
      </c>
      <c r="C4" s="17" t="s">
        <v>336</v>
      </c>
      <c r="D4" s="17" t="s">
        <v>337</v>
      </c>
      <c r="E4" s="17" t="s">
        <v>338</v>
      </c>
      <c r="F4" s="17" t="s">
        <v>192</v>
      </c>
      <c r="G4" s="17" t="s">
        <v>302</v>
      </c>
      <c r="H4" s="17" t="s">
        <v>339</v>
      </c>
      <c r="I4" s="17" t="s">
        <v>194</v>
      </c>
      <c r="J4" s="17" t="s">
        <v>340</v>
      </c>
      <c r="K4" s="17" t="s">
        <v>341</v>
      </c>
      <c r="L4" s="17" t="s">
        <v>342</v>
      </c>
      <c r="M4" s="17" t="s">
        <v>138</v>
      </c>
      <c r="N4" s="17" t="s">
        <v>195</v>
      </c>
      <c r="O4" s="17" t="s">
        <v>343</v>
      </c>
      <c r="P4" s="17" t="s">
        <v>201</v>
      </c>
    </row>
    <row r="5" customFormat="false" ht="21.75" hidden="false" customHeight="true" outlineLevel="0" collapsed="false">
      <c r="A5" s="20" t="str">
        <f aca="false">IF($B5="","",IFERROR(INDEX('Fragrance Projects'!$C$5:$C$64,MATCH($B5,'Fragrance Projects'!$A$5:$A$64,0)),""))</f>
        <v/>
      </c>
      <c r="B5" s="30"/>
      <c r="C5" s="30"/>
      <c r="D5" s="31"/>
      <c r="E5" s="43" t="str">
        <f aca="false">IF($B5="","",IFERROR(INDEX('Project Financials'!$D$5:$D$64,MATCH($B5,'Project Financials'!$A$5:$A$64,0)),""))</f>
        <v/>
      </c>
      <c r="F5" s="32"/>
      <c r="G5" s="32"/>
      <c r="H5" s="31"/>
      <c r="I5" s="43" t="str">
        <f aca="false">IF($E5="","",$E5-$G5)</f>
        <v/>
      </c>
      <c r="J5" s="31"/>
      <c r="K5" s="32"/>
      <c r="L5" s="30"/>
      <c r="M5" s="32"/>
      <c r="N5" s="20" t="str">
        <f aca="true">IF($B5="","",_xlfn.IFS(OR($E5="",$E5=0),"Not Invoiced",($G5+$K5)&gt;=$E5,"Paid",AND($J5&lt;&gt;"",TODAY()&gt;$J5,($G5+$K5)&lt;$E5),"Overdue",$G5=0,"Awaiting Deposit",TRUE(),"Part Paid"))</f>
        <v/>
      </c>
      <c r="O5" s="20" t="str">
        <f aca="true">IF($B5="","",IF($N5="Overdue",TODAY()-$J5,0))</f>
        <v/>
      </c>
      <c r="P5" s="34"/>
    </row>
    <row r="6" customFormat="false" ht="21.75" hidden="false" customHeight="true" outlineLevel="0" collapsed="false">
      <c r="A6" s="20" t="str">
        <f aca="false">IF($B6="","",IFERROR(INDEX('Fragrance Projects'!$C$5:$C$64,MATCH($B6,'Fragrance Projects'!$A$5:$A$64,0)),""))</f>
        <v/>
      </c>
      <c r="B6" s="30"/>
      <c r="C6" s="30"/>
      <c r="D6" s="31"/>
      <c r="E6" s="43" t="str">
        <f aca="false">IF($B6="","",IFERROR(INDEX('Project Financials'!$D$5:$D$64,MATCH($B6,'Project Financials'!$A$5:$A$64,0)),""))</f>
        <v/>
      </c>
      <c r="F6" s="32"/>
      <c r="G6" s="32"/>
      <c r="H6" s="31"/>
      <c r="I6" s="43" t="str">
        <f aca="false">IF($E6="","",$E6-$G6)</f>
        <v/>
      </c>
      <c r="J6" s="31"/>
      <c r="K6" s="32"/>
      <c r="L6" s="30"/>
      <c r="M6" s="32"/>
      <c r="N6" s="20" t="str">
        <f aca="true">IF($B6="","",_xlfn.IFS(OR($E6="",$E6=0),"Not Invoiced",($G6+$K6)&gt;=$E6,"Paid",AND($J6&lt;&gt;"",TODAY()&gt;$J6,($G6+$K6)&lt;$E6),"Overdue",$G6=0,"Awaiting Deposit",TRUE(),"Part Paid"))</f>
        <v/>
      </c>
      <c r="O6" s="20" t="str">
        <f aca="true">IF($B6="","",IF($N6="Overdue",TODAY()-$J6,0))</f>
        <v/>
      </c>
      <c r="P6" s="34"/>
    </row>
    <row r="7" customFormat="false" ht="21.75" hidden="false" customHeight="true" outlineLevel="0" collapsed="false">
      <c r="A7" s="20" t="str">
        <f aca="false">IF($B7="","",IFERROR(INDEX('Fragrance Projects'!$C$5:$C$64,MATCH($B7,'Fragrance Projects'!$A$5:$A$64,0)),""))</f>
        <v/>
      </c>
      <c r="B7" s="30"/>
      <c r="C7" s="30"/>
      <c r="D7" s="31"/>
      <c r="E7" s="43" t="str">
        <f aca="false">IF($B7="","",IFERROR(INDEX('Project Financials'!$D$5:$D$64,MATCH($B7,'Project Financials'!$A$5:$A$64,0)),""))</f>
        <v/>
      </c>
      <c r="F7" s="32"/>
      <c r="G7" s="32"/>
      <c r="H7" s="31"/>
      <c r="I7" s="43" t="str">
        <f aca="false">IF($E7="","",$E7-$G7)</f>
        <v/>
      </c>
      <c r="J7" s="31"/>
      <c r="K7" s="32"/>
      <c r="L7" s="30"/>
      <c r="M7" s="32"/>
      <c r="N7" s="20" t="str">
        <f aca="true">IF($B7="","",_xlfn.IFS(OR($E7="",$E7=0),"Not Invoiced",($G7+$K7)&gt;=$E7,"Paid",AND($J7&lt;&gt;"",TODAY()&gt;$J7,($G7+$K7)&lt;$E7),"Overdue",$G7=0,"Awaiting Deposit",TRUE(),"Part Paid"))</f>
        <v/>
      </c>
      <c r="O7" s="20" t="str">
        <f aca="true">IF($B7="","",IF($N7="Overdue",TODAY()-$J7,0))</f>
        <v/>
      </c>
      <c r="P7" s="34"/>
    </row>
    <row r="8" customFormat="false" ht="21.75" hidden="false" customHeight="true" outlineLevel="0" collapsed="false">
      <c r="A8" s="20" t="str">
        <f aca="false">IF($B8="","",IFERROR(INDEX('Fragrance Projects'!$C$5:$C$64,MATCH($B8,'Fragrance Projects'!$A$5:$A$64,0)),""))</f>
        <v/>
      </c>
      <c r="B8" s="30"/>
      <c r="C8" s="30"/>
      <c r="D8" s="31"/>
      <c r="E8" s="43" t="str">
        <f aca="false">IF($B8="","",IFERROR(INDEX('Project Financials'!$D$5:$D$64,MATCH($B8,'Project Financials'!$A$5:$A$64,0)),""))</f>
        <v/>
      </c>
      <c r="F8" s="32"/>
      <c r="G8" s="32"/>
      <c r="H8" s="31"/>
      <c r="I8" s="43" t="str">
        <f aca="false">IF($E8="","",$E8-$G8)</f>
        <v/>
      </c>
      <c r="J8" s="31"/>
      <c r="K8" s="32"/>
      <c r="L8" s="30"/>
      <c r="M8" s="32"/>
      <c r="N8" s="20" t="str">
        <f aca="true">IF($B8="","",_xlfn.IFS(OR($E8="",$E8=0),"Not Invoiced",($G8+$K8)&gt;=$E8,"Paid",AND($J8&lt;&gt;"",TODAY()&gt;$J8,($G8+$K8)&lt;$E8),"Overdue",$G8=0,"Awaiting Deposit",TRUE(),"Part Paid"))</f>
        <v/>
      </c>
      <c r="O8" s="20" t="str">
        <f aca="true">IF($B8="","",IF($N8="Overdue",TODAY()-$J8,0))</f>
        <v/>
      </c>
      <c r="P8" s="34"/>
    </row>
    <row r="9" customFormat="false" ht="21.75" hidden="false" customHeight="true" outlineLevel="0" collapsed="false">
      <c r="A9" s="20" t="str">
        <f aca="false">IF($B9="","",IFERROR(INDEX('Fragrance Projects'!$C$5:$C$64,MATCH($B9,'Fragrance Projects'!$A$5:$A$64,0)),""))</f>
        <v/>
      </c>
      <c r="B9" s="30"/>
      <c r="C9" s="30"/>
      <c r="D9" s="31"/>
      <c r="E9" s="43" t="str">
        <f aca="false">IF($B9="","",IFERROR(INDEX('Project Financials'!$D$5:$D$64,MATCH($B9,'Project Financials'!$A$5:$A$64,0)),""))</f>
        <v/>
      </c>
      <c r="F9" s="32"/>
      <c r="G9" s="32"/>
      <c r="H9" s="31"/>
      <c r="I9" s="43" t="str">
        <f aca="false">IF($E9="","",$E9-$G9)</f>
        <v/>
      </c>
      <c r="J9" s="31"/>
      <c r="K9" s="32"/>
      <c r="L9" s="30"/>
      <c r="M9" s="32"/>
      <c r="N9" s="20" t="str">
        <f aca="true">IF($B9="","",_xlfn.IFS(OR($E9="",$E9=0),"Not Invoiced",($G9+$K9)&gt;=$E9,"Paid",AND($J9&lt;&gt;"",TODAY()&gt;$J9,($G9+$K9)&lt;$E9),"Overdue",$G9=0,"Awaiting Deposit",TRUE(),"Part Paid"))</f>
        <v/>
      </c>
      <c r="O9" s="20" t="str">
        <f aca="true">IF($B9="","",IF($N9="Overdue",TODAY()-$J9,0))</f>
        <v/>
      </c>
      <c r="P9" s="34"/>
    </row>
    <row r="10" customFormat="false" ht="21.75" hidden="false" customHeight="true" outlineLevel="0" collapsed="false">
      <c r="A10" s="20" t="str">
        <f aca="false">IF($B10="","",IFERROR(INDEX('Fragrance Projects'!$C$5:$C$64,MATCH($B10,'Fragrance Projects'!$A$5:$A$64,0)),""))</f>
        <v/>
      </c>
      <c r="B10" s="30"/>
      <c r="C10" s="30"/>
      <c r="D10" s="31"/>
      <c r="E10" s="43" t="str">
        <f aca="false">IF($B10="","",IFERROR(INDEX('Project Financials'!$D$5:$D$64,MATCH($B10,'Project Financials'!$A$5:$A$64,0)),""))</f>
        <v/>
      </c>
      <c r="F10" s="32"/>
      <c r="G10" s="32"/>
      <c r="H10" s="31"/>
      <c r="I10" s="43" t="str">
        <f aca="false">IF($E10="","",$E10-$G10)</f>
        <v/>
      </c>
      <c r="J10" s="31"/>
      <c r="K10" s="32"/>
      <c r="L10" s="30"/>
      <c r="M10" s="32"/>
      <c r="N10" s="20" t="str">
        <f aca="true">IF($B10="","",_xlfn.IFS(OR($E10="",$E10=0),"Not Invoiced",($G10+$K10)&gt;=$E10,"Paid",AND($J10&lt;&gt;"",TODAY()&gt;$J10,($G10+$K10)&lt;$E10),"Overdue",$G10=0,"Awaiting Deposit",TRUE(),"Part Paid"))</f>
        <v/>
      </c>
      <c r="O10" s="20" t="str">
        <f aca="true">IF($B10="","",IF($N10="Overdue",TODAY()-$J10,0))</f>
        <v/>
      </c>
      <c r="P10" s="34"/>
    </row>
    <row r="11" customFormat="false" ht="21.75" hidden="false" customHeight="true" outlineLevel="0" collapsed="false">
      <c r="A11" s="20" t="str">
        <f aca="false">IF($B11="","",IFERROR(INDEX('Fragrance Projects'!$C$5:$C$64,MATCH($B11,'Fragrance Projects'!$A$5:$A$64,0)),""))</f>
        <v/>
      </c>
      <c r="B11" s="30"/>
      <c r="C11" s="30"/>
      <c r="D11" s="31"/>
      <c r="E11" s="43" t="str">
        <f aca="false">IF($B11="","",IFERROR(INDEX('Project Financials'!$D$5:$D$64,MATCH($B11,'Project Financials'!$A$5:$A$64,0)),""))</f>
        <v/>
      </c>
      <c r="F11" s="32"/>
      <c r="G11" s="32"/>
      <c r="H11" s="31"/>
      <c r="I11" s="43" t="str">
        <f aca="false">IF($E11="","",$E11-$G11)</f>
        <v/>
      </c>
      <c r="J11" s="31"/>
      <c r="K11" s="32"/>
      <c r="L11" s="30"/>
      <c r="M11" s="32"/>
      <c r="N11" s="20" t="str">
        <f aca="true">IF($B11="","",_xlfn.IFS(OR($E11="",$E11=0),"Not Invoiced",($G11+$K11)&gt;=$E11,"Paid",AND($J11&lt;&gt;"",TODAY()&gt;$J11,($G11+$K11)&lt;$E11),"Overdue",$G11=0,"Awaiting Deposit",TRUE(),"Part Paid"))</f>
        <v/>
      </c>
      <c r="O11" s="20" t="str">
        <f aca="true">IF($B11="","",IF($N11="Overdue",TODAY()-$J11,0))</f>
        <v/>
      </c>
      <c r="P11" s="34"/>
    </row>
    <row r="12" customFormat="false" ht="21.75" hidden="false" customHeight="true" outlineLevel="0" collapsed="false">
      <c r="A12" s="20" t="str">
        <f aca="false">IF($B12="","",IFERROR(INDEX('Fragrance Projects'!$C$5:$C$64,MATCH($B12,'Fragrance Projects'!$A$5:$A$64,0)),""))</f>
        <v/>
      </c>
      <c r="B12" s="30"/>
      <c r="C12" s="30"/>
      <c r="D12" s="31"/>
      <c r="E12" s="43" t="str">
        <f aca="false">IF($B12="","",IFERROR(INDEX('Project Financials'!$D$5:$D$64,MATCH($B12,'Project Financials'!$A$5:$A$64,0)),""))</f>
        <v/>
      </c>
      <c r="F12" s="32"/>
      <c r="G12" s="32"/>
      <c r="H12" s="31"/>
      <c r="I12" s="43" t="str">
        <f aca="false">IF($E12="","",$E12-$G12)</f>
        <v/>
      </c>
      <c r="J12" s="31"/>
      <c r="K12" s="32"/>
      <c r="L12" s="30"/>
      <c r="M12" s="32"/>
      <c r="N12" s="20" t="str">
        <f aca="true">IF($B12="","",_xlfn.IFS(OR($E12="",$E12=0),"Not Invoiced",($G12+$K12)&gt;=$E12,"Paid",AND($J12&lt;&gt;"",TODAY()&gt;$J12,($G12+$K12)&lt;$E12),"Overdue",$G12=0,"Awaiting Deposit",TRUE(),"Part Paid"))</f>
        <v/>
      </c>
      <c r="O12" s="20" t="str">
        <f aca="true">IF($B12="","",IF($N12="Overdue",TODAY()-$J12,0))</f>
        <v/>
      </c>
      <c r="P12" s="34"/>
    </row>
    <row r="13" customFormat="false" ht="21.75" hidden="false" customHeight="true" outlineLevel="0" collapsed="false">
      <c r="A13" s="20" t="str">
        <f aca="false">IF($B13="","",IFERROR(INDEX('Fragrance Projects'!$C$5:$C$64,MATCH($B13,'Fragrance Projects'!$A$5:$A$64,0)),""))</f>
        <v/>
      </c>
      <c r="B13" s="30"/>
      <c r="C13" s="30"/>
      <c r="D13" s="31"/>
      <c r="E13" s="43" t="str">
        <f aca="false">IF($B13="","",IFERROR(INDEX('Project Financials'!$D$5:$D$64,MATCH($B13,'Project Financials'!$A$5:$A$64,0)),""))</f>
        <v/>
      </c>
      <c r="F13" s="32"/>
      <c r="G13" s="32"/>
      <c r="H13" s="31"/>
      <c r="I13" s="43" t="str">
        <f aca="false">IF($E13="","",$E13-$G13)</f>
        <v/>
      </c>
      <c r="J13" s="31"/>
      <c r="K13" s="32"/>
      <c r="L13" s="30"/>
      <c r="M13" s="32"/>
      <c r="N13" s="20" t="str">
        <f aca="true">IF($B13="","",_xlfn.IFS(OR($E13="",$E13=0),"Not Invoiced",($G13+$K13)&gt;=$E13,"Paid",AND($J13&lt;&gt;"",TODAY()&gt;$J13,($G13+$K13)&lt;$E13),"Overdue",$G13=0,"Awaiting Deposit",TRUE(),"Part Paid"))</f>
        <v/>
      </c>
      <c r="O13" s="20" t="str">
        <f aca="true">IF($B13="","",IF($N13="Overdue",TODAY()-$J13,0))</f>
        <v/>
      </c>
      <c r="P13" s="34"/>
    </row>
    <row r="14" customFormat="false" ht="21.75" hidden="false" customHeight="true" outlineLevel="0" collapsed="false">
      <c r="A14" s="20" t="str">
        <f aca="false">IF($B14="","",IFERROR(INDEX('Fragrance Projects'!$C$5:$C$64,MATCH($B14,'Fragrance Projects'!$A$5:$A$64,0)),""))</f>
        <v/>
      </c>
      <c r="B14" s="30"/>
      <c r="C14" s="30"/>
      <c r="D14" s="31"/>
      <c r="E14" s="43" t="str">
        <f aca="false">IF($B14="","",IFERROR(INDEX('Project Financials'!$D$5:$D$64,MATCH($B14,'Project Financials'!$A$5:$A$64,0)),""))</f>
        <v/>
      </c>
      <c r="F14" s="32"/>
      <c r="G14" s="32"/>
      <c r="H14" s="31"/>
      <c r="I14" s="43" t="str">
        <f aca="false">IF($E14="","",$E14-$G14)</f>
        <v/>
      </c>
      <c r="J14" s="31"/>
      <c r="K14" s="32"/>
      <c r="L14" s="30"/>
      <c r="M14" s="32"/>
      <c r="N14" s="20" t="str">
        <f aca="true">IF($B14="","",_xlfn.IFS(OR($E14="",$E14=0),"Not Invoiced",($G14+$K14)&gt;=$E14,"Paid",AND($J14&lt;&gt;"",TODAY()&gt;$J14,($G14+$K14)&lt;$E14),"Overdue",$G14=0,"Awaiting Deposit",TRUE(),"Part Paid"))</f>
        <v/>
      </c>
      <c r="O14" s="20" t="str">
        <f aca="true">IF($B14="","",IF($N14="Overdue",TODAY()-$J14,0))</f>
        <v/>
      </c>
      <c r="P14" s="34"/>
    </row>
    <row r="15" customFormat="false" ht="21.75" hidden="false" customHeight="true" outlineLevel="0" collapsed="false">
      <c r="A15" s="20" t="str">
        <f aca="false">IF($B15="","",IFERROR(INDEX('Fragrance Projects'!$C$5:$C$64,MATCH($B15,'Fragrance Projects'!$A$5:$A$64,0)),""))</f>
        <v/>
      </c>
      <c r="B15" s="30"/>
      <c r="C15" s="30"/>
      <c r="D15" s="31"/>
      <c r="E15" s="43" t="str">
        <f aca="false">IF($B15="","",IFERROR(INDEX('Project Financials'!$D$5:$D$64,MATCH($B15,'Project Financials'!$A$5:$A$64,0)),""))</f>
        <v/>
      </c>
      <c r="F15" s="32"/>
      <c r="G15" s="32"/>
      <c r="H15" s="31"/>
      <c r="I15" s="43" t="str">
        <f aca="false">IF($E15="","",$E15-$G15)</f>
        <v/>
      </c>
      <c r="J15" s="31"/>
      <c r="K15" s="32"/>
      <c r="L15" s="30"/>
      <c r="M15" s="32"/>
      <c r="N15" s="20" t="str">
        <f aca="true">IF($B15="","",_xlfn.IFS(OR($E15="",$E15=0),"Not Invoiced",($G15+$K15)&gt;=$E15,"Paid",AND($J15&lt;&gt;"",TODAY()&gt;$J15,($G15+$K15)&lt;$E15),"Overdue",$G15=0,"Awaiting Deposit",TRUE(),"Part Paid"))</f>
        <v/>
      </c>
      <c r="O15" s="20" t="str">
        <f aca="true">IF($B15="","",IF($N15="Overdue",TODAY()-$J15,0))</f>
        <v/>
      </c>
      <c r="P15" s="34"/>
    </row>
    <row r="16" customFormat="false" ht="21.75" hidden="false" customHeight="true" outlineLevel="0" collapsed="false">
      <c r="A16" s="20" t="str">
        <f aca="false">IF($B16="","",IFERROR(INDEX('Fragrance Projects'!$C$5:$C$64,MATCH($B16,'Fragrance Projects'!$A$5:$A$64,0)),""))</f>
        <v/>
      </c>
      <c r="B16" s="30"/>
      <c r="C16" s="30"/>
      <c r="D16" s="31"/>
      <c r="E16" s="43" t="str">
        <f aca="false">IF($B16="","",IFERROR(INDEX('Project Financials'!$D$5:$D$64,MATCH($B16,'Project Financials'!$A$5:$A$64,0)),""))</f>
        <v/>
      </c>
      <c r="F16" s="32"/>
      <c r="G16" s="32"/>
      <c r="H16" s="31"/>
      <c r="I16" s="43" t="str">
        <f aca="false">IF($E16="","",$E16-$G16)</f>
        <v/>
      </c>
      <c r="J16" s="31"/>
      <c r="K16" s="32"/>
      <c r="L16" s="30"/>
      <c r="M16" s="32"/>
      <c r="N16" s="20" t="str">
        <f aca="true">IF($B16="","",_xlfn.IFS(OR($E16="",$E16=0),"Not Invoiced",($G16+$K16)&gt;=$E16,"Paid",AND($J16&lt;&gt;"",TODAY()&gt;$J16,($G16+$K16)&lt;$E16),"Overdue",$G16=0,"Awaiting Deposit",TRUE(),"Part Paid"))</f>
        <v/>
      </c>
      <c r="O16" s="20" t="str">
        <f aca="true">IF($B16="","",IF($N16="Overdue",TODAY()-$J16,0))</f>
        <v/>
      </c>
      <c r="P16" s="34"/>
    </row>
    <row r="17" customFormat="false" ht="21.75" hidden="false" customHeight="true" outlineLevel="0" collapsed="false">
      <c r="A17" s="20" t="str">
        <f aca="false">IF($B17="","",IFERROR(INDEX('Fragrance Projects'!$C$5:$C$64,MATCH($B17,'Fragrance Projects'!$A$5:$A$64,0)),""))</f>
        <v/>
      </c>
      <c r="B17" s="30"/>
      <c r="C17" s="30"/>
      <c r="D17" s="31"/>
      <c r="E17" s="43" t="str">
        <f aca="false">IF($B17="","",IFERROR(INDEX('Project Financials'!$D$5:$D$64,MATCH($B17,'Project Financials'!$A$5:$A$64,0)),""))</f>
        <v/>
      </c>
      <c r="F17" s="32"/>
      <c r="G17" s="32"/>
      <c r="H17" s="31"/>
      <c r="I17" s="43" t="str">
        <f aca="false">IF($E17="","",$E17-$G17)</f>
        <v/>
      </c>
      <c r="J17" s="31"/>
      <c r="K17" s="32"/>
      <c r="L17" s="30"/>
      <c r="M17" s="32"/>
      <c r="N17" s="20" t="str">
        <f aca="true">IF($B17="","",_xlfn.IFS(OR($E17="",$E17=0),"Not Invoiced",($G17+$K17)&gt;=$E17,"Paid",AND($J17&lt;&gt;"",TODAY()&gt;$J17,($G17+$K17)&lt;$E17),"Overdue",$G17=0,"Awaiting Deposit",TRUE(),"Part Paid"))</f>
        <v/>
      </c>
      <c r="O17" s="20" t="str">
        <f aca="true">IF($B17="","",IF($N17="Overdue",TODAY()-$J17,0))</f>
        <v/>
      </c>
      <c r="P17" s="34"/>
    </row>
    <row r="18" customFormat="false" ht="21.75" hidden="false" customHeight="true" outlineLevel="0" collapsed="false">
      <c r="A18" s="20" t="str">
        <f aca="false">IF($B18="","",IFERROR(INDEX('Fragrance Projects'!$C$5:$C$64,MATCH($B18,'Fragrance Projects'!$A$5:$A$64,0)),""))</f>
        <v/>
      </c>
      <c r="B18" s="30"/>
      <c r="C18" s="30"/>
      <c r="D18" s="31"/>
      <c r="E18" s="43" t="str">
        <f aca="false">IF($B18="","",IFERROR(INDEX('Project Financials'!$D$5:$D$64,MATCH($B18,'Project Financials'!$A$5:$A$64,0)),""))</f>
        <v/>
      </c>
      <c r="F18" s="32"/>
      <c r="G18" s="32"/>
      <c r="H18" s="31"/>
      <c r="I18" s="43" t="str">
        <f aca="false">IF($E18="","",$E18-$G18)</f>
        <v/>
      </c>
      <c r="J18" s="31"/>
      <c r="K18" s="32"/>
      <c r="L18" s="30"/>
      <c r="M18" s="32"/>
      <c r="N18" s="20" t="str">
        <f aca="true">IF($B18="","",_xlfn.IFS(OR($E18="",$E18=0),"Not Invoiced",($G18+$K18)&gt;=$E18,"Paid",AND($J18&lt;&gt;"",TODAY()&gt;$J18,($G18+$K18)&lt;$E18),"Overdue",$G18=0,"Awaiting Deposit",TRUE(),"Part Paid"))</f>
        <v/>
      </c>
      <c r="O18" s="20" t="str">
        <f aca="true">IF($B18="","",IF($N18="Overdue",TODAY()-$J18,0))</f>
        <v/>
      </c>
      <c r="P18" s="34"/>
    </row>
    <row r="19" customFormat="false" ht="21.75" hidden="false" customHeight="true" outlineLevel="0" collapsed="false">
      <c r="A19" s="20" t="str">
        <f aca="false">IF($B19="","",IFERROR(INDEX('Fragrance Projects'!$C$5:$C$64,MATCH($B19,'Fragrance Projects'!$A$5:$A$64,0)),""))</f>
        <v/>
      </c>
      <c r="B19" s="30"/>
      <c r="C19" s="30"/>
      <c r="D19" s="31"/>
      <c r="E19" s="43" t="str">
        <f aca="false">IF($B19="","",IFERROR(INDEX('Project Financials'!$D$5:$D$64,MATCH($B19,'Project Financials'!$A$5:$A$64,0)),""))</f>
        <v/>
      </c>
      <c r="F19" s="32"/>
      <c r="G19" s="32"/>
      <c r="H19" s="31"/>
      <c r="I19" s="43" t="str">
        <f aca="false">IF($E19="","",$E19-$G19)</f>
        <v/>
      </c>
      <c r="J19" s="31"/>
      <c r="K19" s="32"/>
      <c r="L19" s="30"/>
      <c r="M19" s="32"/>
      <c r="N19" s="20" t="str">
        <f aca="true">IF($B19="","",_xlfn.IFS(OR($E19="",$E19=0),"Not Invoiced",($G19+$K19)&gt;=$E19,"Paid",AND($J19&lt;&gt;"",TODAY()&gt;$J19,($G19+$K19)&lt;$E19),"Overdue",$G19=0,"Awaiting Deposit",TRUE(),"Part Paid"))</f>
        <v/>
      </c>
      <c r="O19" s="20" t="str">
        <f aca="true">IF($B19="","",IF($N19="Overdue",TODAY()-$J19,0))</f>
        <v/>
      </c>
      <c r="P19" s="34"/>
    </row>
    <row r="20" customFormat="false" ht="21.75" hidden="false" customHeight="true" outlineLevel="0" collapsed="false">
      <c r="A20" s="20" t="str">
        <f aca="false">IF($B20="","",IFERROR(INDEX('Fragrance Projects'!$C$5:$C$64,MATCH($B20,'Fragrance Projects'!$A$5:$A$64,0)),""))</f>
        <v/>
      </c>
      <c r="B20" s="30"/>
      <c r="C20" s="30"/>
      <c r="D20" s="31"/>
      <c r="E20" s="43" t="str">
        <f aca="false">IF($B20="","",IFERROR(INDEX('Project Financials'!$D$5:$D$64,MATCH($B20,'Project Financials'!$A$5:$A$64,0)),""))</f>
        <v/>
      </c>
      <c r="F20" s="32"/>
      <c r="G20" s="32"/>
      <c r="H20" s="31"/>
      <c r="I20" s="43" t="str">
        <f aca="false">IF($E20="","",$E20-$G20)</f>
        <v/>
      </c>
      <c r="J20" s="31"/>
      <c r="K20" s="32"/>
      <c r="L20" s="30"/>
      <c r="M20" s="32"/>
      <c r="N20" s="20" t="str">
        <f aca="true">IF($B20="","",_xlfn.IFS(OR($E20="",$E20=0),"Not Invoiced",($G20+$K20)&gt;=$E20,"Paid",AND($J20&lt;&gt;"",TODAY()&gt;$J20,($G20+$K20)&lt;$E20),"Overdue",$G20=0,"Awaiting Deposit",TRUE(),"Part Paid"))</f>
        <v/>
      </c>
      <c r="O20" s="20" t="str">
        <f aca="true">IF($B20="","",IF($N20="Overdue",TODAY()-$J20,0))</f>
        <v/>
      </c>
      <c r="P20" s="34"/>
    </row>
    <row r="21" customFormat="false" ht="21.75" hidden="false" customHeight="true" outlineLevel="0" collapsed="false">
      <c r="A21" s="20" t="str">
        <f aca="false">IF($B21="","",IFERROR(INDEX('Fragrance Projects'!$C$5:$C$64,MATCH($B21,'Fragrance Projects'!$A$5:$A$64,0)),""))</f>
        <v/>
      </c>
      <c r="B21" s="30"/>
      <c r="C21" s="30"/>
      <c r="D21" s="31"/>
      <c r="E21" s="43" t="str">
        <f aca="false">IF($B21="","",IFERROR(INDEX('Project Financials'!$D$5:$D$64,MATCH($B21,'Project Financials'!$A$5:$A$64,0)),""))</f>
        <v/>
      </c>
      <c r="F21" s="32"/>
      <c r="G21" s="32"/>
      <c r="H21" s="31"/>
      <c r="I21" s="43" t="str">
        <f aca="false">IF($E21="","",$E21-$G21)</f>
        <v/>
      </c>
      <c r="J21" s="31"/>
      <c r="K21" s="32"/>
      <c r="L21" s="30"/>
      <c r="M21" s="32"/>
      <c r="N21" s="20" t="str">
        <f aca="true">IF($B21="","",_xlfn.IFS(OR($E21="",$E21=0),"Not Invoiced",($G21+$K21)&gt;=$E21,"Paid",AND($J21&lt;&gt;"",TODAY()&gt;$J21,($G21+$K21)&lt;$E21),"Overdue",$G21=0,"Awaiting Deposit",TRUE(),"Part Paid"))</f>
        <v/>
      </c>
      <c r="O21" s="20" t="str">
        <f aca="true">IF($B21="","",IF($N21="Overdue",TODAY()-$J21,0))</f>
        <v/>
      </c>
      <c r="P21" s="34"/>
    </row>
    <row r="22" customFormat="false" ht="21.75" hidden="false" customHeight="true" outlineLevel="0" collapsed="false">
      <c r="A22" s="20" t="str">
        <f aca="false">IF($B22="","",IFERROR(INDEX('Fragrance Projects'!$C$5:$C$64,MATCH($B22,'Fragrance Projects'!$A$5:$A$64,0)),""))</f>
        <v/>
      </c>
      <c r="B22" s="30"/>
      <c r="C22" s="30"/>
      <c r="D22" s="31"/>
      <c r="E22" s="43" t="str">
        <f aca="false">IF($B22="","",IFERROR(INDEX('Project Financials'!$D$5:$D$64,MATCH($B22,'Project Financials'!$A$5:$A$64,0)),""))</f>
        <v/>
      </c>
      <c r="F22" s="32"/>
      <c r="G22" s="32"/>
      <c r="H22" s="31"/>
      <c r="I22" s="43" t="str">
        <f aca="false">IF($E22="","",$E22-$G22)</f>
        <v/>
      </c>
      <c r="J22" s="31"/>
      <c r="K22" s="32"/>
      <c r="L22" s="30"/>
      <c r="M22" s="32"/>
      <c r="N22" s="20" t="str">
        <f aca="true">IF($B22="","",_xlfn.IFS(OR($E22="",$E22=0),"Not Invoiced",($G22+$K22)&gt;=$E22,"Paid",AND($J22&lt;&gt;"",TODAY()&gt;$J22,($G22+$K22)&lt;$E22),"Overdue",$G22=0,"Awaiting Deposit",TRUE(),"Part Paid"))</f>
        <v/>
      </c>
      <c r="O22" s="20" t="str">
        <f aca="true">IF($B22="","",IF($N22="Overdue",TODAY()-$J22,0))</f>
        <v/>
      </c>
      <c r="P22" s="34"/>
    </row>
    <row r="23" customFormat="false" ht="21.75" hidden="false" customHeight="true" outlineLevel="0" collapsed="false">
      <c r="A23" s="20" t="str">
        <f aca="false">IF($B23="","",IFERROR(INDEX('Fragrance Projects'!$C$5:$C$64,MATCH($B23,'Fragrance Projects'!$A$5:$A$64,0)),""))</f>
        <v/>
      </c>
      <c r="B23" s="30"/>
      <c r="C23" s="30"/>
      <c r="D23" s="31"/>
      <c r="E23" s="43" t="str">
        <f aca="false">IF($B23="","",IFERROR(INDEX('Project Financials'!$D$5:$D$64,MATCH($B23,'Project Financials'!$A$5:$A$64,0)),""))</f>
        <v/>
      </c>
      <c r="F23" s="32"/>
      <c r="G23" s="32"/>
      <c r="H23" s="31"/>
      <c r="I23" s="43" t="str">
        <f aca="false">IF($E23="","",$E23-$G23)</f>
        <v/>
      </c>
      <c r="J23" s="31"/>
      <c r="K23" s="32"/>
      <c r="L23" s="30"/>
      <c r="M23" s="32"/>
      <c r="N23" s="20" t="str">
        <f aca="true">IF($B23="","",_xlfn.IFS(OR($E23="",$E23=0),"Not Invoiced",($G23+$K23)&gt;=$E23,"Paid",AND($J23&lt;&gt;"",TODAY()&gt;$J23,($G23+$K23)&lt;$E23),"Overdue",$G23=0,"Awaiting Deposit",TRUE(),"Part Paid"))</f>
        <v/>
      </c>
      <c r="O23" s="20" t="str">
        <f aca="true">IF($B23="","",IF($N23="Overdue",TODAY()-$J23,0))</f>
        <v/>
      </c>
      <c r="P23" s="34"/>
    </row>
    <row r="24" customFormat="false" ht="21.75" hidden="false" customHeight="true" outlineLevel="0" collapsed="false">
      <c r="A24" s="20" t="str">
        <f aca="false">IF($B24="","",IFERROR(INDEX('Fragrance Projects'!$C$5:$C$64,MATCH($B24,'Fragrance Projects'!$A$5:$A$64,0)),""))</f>
        <v/>
      </c>
      <c r="B24" s="30"/>
      <c r="C24" s="30"/>
      <c r="D24" s="31"/>
      <c r="E24" s="43" t="str">
        <f aca="false">IF($B24="","",IFERROR(INDEX('Project Financials'!$D$5:$D$64,MATCH($B24,'Project Financials'!$A$5:$A$64,0)),""))</f>
        <v/>
      </c>
      <c r="F24" s="32"/>
      <c r="G24" s="32"/>
      <c r="H24" s="31"/>
      <c r="I24" s="43" t="str">
        <f aca="false">IF($E24="","",$E24-$G24)</f>
        <v/>
      </c>
      <c r="J24" s="31"/>
      <c r="K24" s="32"/>
      <c r="L24" s="30"/>
      <c r="M24" s="32"/>
      <c r="N24" s="20" t="str">
        <f aca="true">IF($B24="","",_xlfn.IFS(OR($E24="",$E24=0),"Not Invoiced",($G24+$K24)&gt;=$E24,"Paid",AND($J24&lt;&gt;"",TODAY()&gt;$J24,($G24+$K24)&lt;$E24),"Overdue",$G24=0,"Awaiting Deposit",TRUE(),"Part Paid"))</f>
        <v/>
      </c>
      <c r="O24" s="20" t="str">
        <f aca="true">IF($B24="","",IF($N24="Overdue",TODAY()-$J24,0))</f>
        <v/>
      </c>
      <c r="P24" s="34"/>
    </row>
    <row r="25" customFormat="false" ht="21.75" hidden="false" customHeight="true" outlineLevel="0" collapsed="false">
      <c r="A25" s="20" t="str">
        <f aca="false">IF($B25="","",IFERROR(INDEX('Fragrance Projects'!$C$5:$C$64,MATCH($B25,'Fragrance Projects'!$A$5:$A$64,0)),""))</f>
        <v/>
      </c>
      <c r="B25" s="30"/>
      <c r="C25" s="30"/>
      <c r="D25" s="31"/>
      <c r="E25" s="43" t="str">
        <f aca="false">IF($B25="","",IFERROR(INDEX('Project Financials'!$D$5:$D$64,MATCH($B25,'Project Financials'!$A$5:$A$64,0)),""))</f>
        <v/>
      </c>
      <c r="F25" s="32"/>
      <c r="G25" s="32"/>
      <c r="H25" s="31"/>
      <c r="I25" s="43" t="str">
        <f aca="false">IF($E25="","",$E25-$G25)</f>
        <v/>
      </c>
      <c r="J25" s="31"/>
      <c r="K25" s="32"/>
      <c r="L25" s="30"/>
      <c r="M25" s="32"/>
      <c r="N25" s="20" t="str">
        <f aca="true">IF($B25="","",_xlfn.IFS(OR($E25="",$E25=0),"Not Invoiced",($G25+$K25)&gt;=$E25,"Paid",AND($J25&lt;&gt;"",TODAY()&gt;$J25,($G25+$K25)&lt;$E25),"Overdue",$G25=0,"Awaiting Deposit",TRUE(),"Part Paid"))</f>
        <v/>
      </c>
      <c r="O25" s="20" t="str">
        <f aca="true">IF($B25="","",IF($N25="Overdue",TODAY()-$J25,0))</f>
        <v/>
      </c>
      <c r="P25" s="34"/>
    </row>
    <row r="26" customFormat="false" ht="21.75" hidden="false" customHeight="true" outlineLevel="0" collapsed="false">
      <c r="A26" s="20" t="str">
        <f aca="false">IF($B26="","",IFERROR(INDEX('Fragrance Projects'!$C$5:$C$64,MATCH($B26,'Fragrance Projects'!$A$5:$A$64,0)),""))</f>
        <v/>
      </c>
      <c r="B26" s="30"/>
      <c r="C26" s="30"/>
      <c r="D26" s="31"/>
      <c r="E26" s="43" t="str">
        <f aca="false">IF($B26="","",IFERROR(INDEX('Project Financials'!$D$5:$D$64,MATCH($B26,'Project Financials'!$A$5:$A$64,0)),""))</f>
        <v/>
      </c>
      <c r="F26" s="32"/>
      <c r="G26" s="32"/>
      <c r="H26" s="31"/>
      <c r="I26" s="43" t="str">
        <f aca="false">IF($E26="","",$E26-$G26)</f>
        <v/>
      </c>
      <c r="J26" s="31"/>
      <c r="K26" s="32"/>
      <c r="L26" s="30"/>
      <c r="M26" s="32"/>
      <c r="N26" s="20" t="str">
        <f aca="true">IF($B26="","",_xlfn.IFS(OR($E26="",$E26=0),"Not Invoiced",($G26+$K26)&gt;=$E26,"Paid",AND($J26&lt;&gt;"",TODAY()&gt;$J26,($G26+$K26)&lt;$E26),"Overdue",$G26=0,"Awaiting Deposit",TRUE(),"Part Paid"))</f>
        <v/>
      </c>
      <c r="O26" s="20" t="str">
        <f aca="true">IF($B26="","",IF($N26="Overdue",TODAY()-$J26,0))</f>
        <v/>
      </c>
      <c r="P26" s="34"/>
    </row>
    <row r="27" customFormat="false" ht="21.75" hidden="false" customHeight="true" outlineLevel="0" collapsed="false">
      <c r="A27" s="20" t="str">
        <f aca="false">IF($B27="","",IFERROR(INDEX('Fragrance Projects'!$C$5:$C$64,MATCH($B27,'Fragrance Projects'!$A$5:$A$64,0)),""))</f>
        <v/>
      </c>
      <c r="B27" s="30"/>
      <c r="C27" s="30"/>
      <c r="D27" s="31"/>
      <c r="E27" s="43" t="str">
        <f aca="false">IF($B27="","",IFERROR(INDEX('Project Financials'!$D$5:$D$64,MATCH($B27,'Project Financials'!$A$5:$A$64,0)),""))</f>
        <v/>
      </c>
      <c r="F27" s="32"/>
      <c r="G27" s="32"/>
      <c r="H27" s="31"/>
      <c r="I27" s="43" t="str">
        <f aca="false">IF($E27="","",$E27-$G27)</f>
        <v/>
      </c>
      <c r="J27" s="31"/>
      <c r="K27" s="32"/>
      <c r="L27" s="30"/>
      <c r="M27" s="32"/>
      <c r="N27" s="20" t="str">
        <f aca="true">IF($B27="","",_xlfn.IFS(OR($E27="",$E27=0),"Not Invoiced",($G27+$K27)&gt;=$E27,"Paid",AND($J27&lt;&gt;"",TODAY()&gt;$J27,($G27+$K27)&lt;$E27),"Overdue",$G27=0,"Awaiting Deposit",TRUE(),"Part Paid"))</f>
        <v/>
      </c>
      <c r="O27" s="20" t="str">
        <f aca="true">IF($B27="","",IF($N27="Overdue",TODAY()-$J27,0))</f>
        <v/>
      </c>
      <c r="P27" s="34"/>
    </row>
    <row r="28" customFormat="false" ht="21.75" hidden="false" customHeight="true" outlineLevel="0" collapsed="false">
      <c r="A28" s="20" t="str">
        <f aca="false">IF($B28="","",IFERROR(INDEX('Fragrance Projects'!$C$5:$C$64,MATCH($B28,'Fragrance Projects'!$A$5:$A$64,0)),""))</f>
        <v/>
      </c>
      <c r="B28" s="30"/>
      <c r="C28" s="30"/>
      <c r="D28" s="31"/>
      <c r="E28" s="43" t="str">
        <f aca="false">IF($B28="","",IFERROR(INDEX('Project Financials'!$D$5:$D$64,MATCH($B28,'Project Financials'!$A$5:$A$64,0)),""))</f>
        <v/>
      </c>
      <c r="F28" s="32"/>
      <c r="G28" s="32"/>
      <c r="H28" s="31"/>
      <c r="I28" s="43" t="str">
        <f aca="false">IF($E28="","",$E28-$G28)</f>
        <v/>
      </c>
      <c r="J28" s="31"/>
      <c r="K28" s="32"/>
      <c r="L28" s="30"/>
      <c r="M28" s="32"/>
      <c r="N28" s="20" t="str">
        <f aca="true">IF($B28="","",_xlfn.IFS(OR($E28="",$E28=0),"Not Invoiced",($G28+$K28)&gt;=$E28,"Paid",AND($J28&lt;&gt;"",TODAY()&gt;$J28,($G28+$K28)&lt;$E28),"Overdue",$G28=0,"Awaiting Deposit",TRUE(),"Part Paid"))</f>
        <v/>
      </c>
      <c r="O28" s="20" t="str">
        <f aca="true">IF($B28="","",IF($N28="Overdue",TODAY()-$J28,0))</f>
        <v/>
      </c>
      <c r="P28" s="34"/>
    </row>
    <row r="29" customFormat="false" ht="21.75" hidden="false" customHeight="true" outlineLevel="0" collapsed="false">
      <c r="A29" s="20" t="str">
        <f aca="false">IF($B29="","",IFERROR(INDEX('Fragrance Projects'!$C$5:$C$64,MATCH($B29,'Fragrance Projects'!$A$5:$A$64,0)),""))</f>
        <v/>
      </c>
      <c r="B29" s="30"/>
      <c r="C29" s="30"/>
      <c r="D29" s="31"/>
      <c r="E29" s="43" t="str">
        <f aca="false">IF($B29="","",IFERROR(INDEX('Project Financials'!$D$5:$D$64,MATCH($B29,'Project Financials'!$A$5:$A$64,0)),""))</f>
        <v/>
      </c>
      <c r="F29" s="32"/>
      <c r="G29" s="32"/>
      <c r="H29" s="31"/>
      <c r="I29" s="43" t="str">
        <f aca="false">IF($E29="","",$E29-$G29)</f>
        <v/>
      </c>
      <c r="J29" s="31"/>
      <c r="K29" s="32"/>
      <c r="L29" s="30"/>
      <c r="M29" s="32"/>
      <c r="N29" s="20" t="str">
        <f aca="true">IF($B29="","",_xlfn.IFS(OR($E29="",$E29=0),"Not Invoiced",($G29+$K29)&gt;=$E29,"Paid",AND($J29&lt;&gt;"",TODAY()&gt;$J29,($G29+$K29)&lt;$E29),"Overdue",$G29=0,"Awaiting Deposit",TRUE(),"Part Paid"))</f>
        <v/>
      </c>
      <c r="O29" s="20" t="str">
        <f aca="true">IF($B29="","",IF($N29="Overdue",TODAY()-$J29,0))</f>
        <v/>
      </c>
      <c r="P29" s="34"/>
    </row>
    <row r="30" customFormat="false" ht="21.75" hidden="false" customHeight="true" outlineLevel="0" collapsed="false">
      <c r="A30" s="20" t="str">
        <f aca="false">IF($B30="","",IFERROR(INDEX('Fragrance Projects'!$C$5:$C$64,MATCH($B30,'Fragrance Projects'!$A$5:$A$64,0)),""))</f>
        <v/>
      </c>
      <c r="B30" s="30"/>
      <c r="C30" s="30"/>
      <c r="D30" s="31"/>
      <c r="E30" s="43" t="str">
        <f aca="false">IF($B30="","",IFERROR(INDEX('Project Financials'!$D$5:$D$64,MATCH($B30,'Project Financials'!$A$5:$A$64,0)),""))</f>
        <v/>
      </c>
      <c r="F30" s="32"/>
      <c r="G30" s="32"/>
      <c r="H30" s="31"/>
      <c r="I30" s="43" t="str">
        <f aca="false">IF($E30="","",$E30-$G30)</f>
        <v/>
      </c>
      <c r="J30" s="31"/>
      <c r="K30" s="32"/>
      <c r="L30" s="30"/>
      <c r="M30" s="32"/>
      <c r="N30" s="20" t="str">
        <f aca="true">IF($B30="","",_xlfn.IFS(OR($E30="",$E30=0),"Not Invoiced",($G30+$K30)&gt;=$E30,"Paid",AND($J30&lt;&gt;"",TODAY()&gt;$J30,($G30+$K30)&lt;$E30),"Overdue",$G30=0,"Awaiting Deposit",TRUE(),"Part Paid"))</f>
        <v/>
      </c>
      <c r="O30" s="20" t="str">
        <f aca="true">IF($B30="","",IF($N30="Overdue",TODAY()-$J30,0))</f>
        <v/>
      </c>
      <c r="P30" s="34"/>
    </row>
    <row r="31" customFormat="false" ht="21.75" hidden="false" customHeight="true" outlineLevel="0" collapsed="false">
      <c r="A31" s="20" t="str">
        <f aca="false">IF($B31="","",IFERROR(INDEX('Fragrance Projects'!$C$5:$C$64,MATCH($B31,'Fragrance Projects'!$A$5:$A$64,0)),""))</f>
        <v/>
      </c>
      <c r="B31" s="30"/>
      <c r="C31" s="30"/>
      <c r="D31" s="31"/>
      <c r="E31" s="43" t="str">
        <f aca="false">IF($B31="","",IFERROR(INDEX('Project Financials'!$D$5:$D$64,MATCH($B31,'Project Financials'!$A$5:$A$64,0)),""))</f>
        <v/>
      </c>
      <c r="F31" s="32"/>
      <c r="G31" s="32"/>
      <c r="H31" s="31"/>
      <c r="I31" s="43" t="str">
        <f aca="false">IF($E31="","",$E31-$G31)</f>
        <v/>
      </c>
      <c r="J31" s="31"/>
      <c r="K31" s="32"/>
      <c r="L31" s="30"/>
      <c r="M31" s="32"/>
      <c r="N31" s="20" t="str">
        <f aca="true">IF($B31="","",_xlfn.IFS(OR($E31="",$E31=0),"Not Invoiced",($G31+$K31)&gt;=$E31,"Paid",AND($J31&lt;&gt;"",TODAY()&gt;$J31,($G31+$K31)&lt;$E31),"Overdue",$G31=0,"Awaiting Deposit",TRUE(),"Part Paid"))</f>
        <v/>
      </c>
      <c r="O31" s="20" t="str">
        <f aca="true">IF($B31="","",IF($N31="Overdue",TODAY()-$J31,0))</f>
        <v/>
      </c>
      <c r="P31" s="34"/>
    </row>
    <row r="32" customFormat="false" ht="21.75" hidden="false" customHeight="true" outlineLevel="0" collapsed="false">
      <c r="A32" s="20" t="str">
        <f aca="false">IF($B32="","",IFERROR(INDEX('Fragrance Projects'!$C$5:$C$64,MATCH($B32,'Fragrance Projects'!$A$5:$A$64,0)),""))</f>
        <v/>
      </c>
      <c r="B32" s="30"/>
      <c r="C32" s="30"/>
      <c r="D32" s="31"/>
      <c r="E32" s="43" t="str">
        <f aca="false">IF($B32="","",IFERROR(INDEX('Project Financials'!$D$5:$D$64,MATCH($B32,'Project Financials'!$A$5:$A$64,0)),""))</f>
        <v/>
      </c>
      <c r="F32" s="32"/>
      <c r="G32" s="32"/>
      <c r="H32" s="31"/>
      <c r="I32" s="43" t="str">
        <f aca="false">IF($E32="","",$E32-$G32)</f>
        <v/>
      </c>
      <c r="J32" s="31"/>
      <c r="K32" s="32"/>
      <c r="L32" s="30"/>
      <c r="M32" s="32"/>
      <c r="N32" s="20" t="str">
        <f aca="true">IF($B32="","",_xlfn.IFS(OR($E32="",$E32=0),"Not Invoiced",($G32+$K32)&gt;=$E32,"Paid",AND($J32&lt;&gt;"",TODAY()&gt;$J32,($G32+$K32)&lt;$E32),"Overdue",$G32=0,"Awaiting Deposit",TRUE(),"Part Paid"))</f>
        <v/>
      </c>
      <c r="O32" s="20" t="str">
        <f aca="true">IF($B32="","",IF($N32="Overdue",TODAY()-$J32,0))</f>
        <v/>
      </c>
      <c r="P32" s="34"/>
    </row>
    <row r="33" customFormat="false" ht="21.75" hidden="false" customHeight="true" outlineLevel="0" collapsed="false">
      <c r="A33" s="20" t="str">
        <f aca="false">IF($B33="","",IFERROR(INDEX('Fragrance Projects'!$C$5:$C$64,MATCH($B33,'Fragrance Projects'!$A$5:$A$64,0)),""))</f>
        <v/>
      </c>
      <c r="B33" s="30"/>
      <c r="C33" s="30"/>
      <c r="D33" s="31"/>
      <c r="E33" s="43" t="str">
        <f aca="false">IF($B33="","",IFERROR(INDEX('Project Financials'!$D$5:$D$64,MATCH($B33,'Project Financials'!$A$5:$A$64,0)),""))</f>
        <v/>
      </c>
      <c r="F33" s="32"/>
      <c r="G33" s="32"/>
      <c r="H33" s="31"/>
      <c r="I33" s="43" t="str">
        <f aca="false">IF($E33="","",$E33-$G33)</f>
        <v/>
      </c>
      <c r="J33" s="31"/>
      <c r="K33" s="32"/>
      <c r="L33" s="30"/>
      <c r="M33" s="32"/>
      <c r="N33" s="20" t="str">
        <f aca="true">IF($B33="","",_xlfn.IFS(OR($E33="",$E33=0),"Not Invoiced",($G33+$K33)&gt;=$E33,"Paid",AND($J33&lt;&gt;"",TODAY()&gt;$J33,($G33+$K33)&lt;$E33),"Overdue",$G33=0,"Awaiting Deposit",TRUE(),"Part Paid"))</f>
        <v/>
      </c>
      <c r="O33" s="20" t="str">
        <f aca="true">IF($B33="","",IF($N33="Overdue",TODAY()-$J33,0))</f>
        <v/>
      </c>
      <c r="P33" s="34"/>
    </row>
    <row r="34" customFormat="false" ht="21.75" hidden="false" customHeight="true" outlineLevel="0" collapsed="false">
      <c r="A34" s="20" t="str">
        <f aca="false">IF($B34="","",IFERROR(INDEX('Fragrance Projects'!$C$5:$C$64,MATCH($B34,'Fragrance Projects'!$A$5:$A$64,0)),""))</f>
        <v/>
      </c>
      <c r="B34" s="30"/>
      <c r="C34" s="30"/>
      <c r="D34" s="31"/>
      <c r="E34" s="43" t="str">
        <f aca="false">IF($B34="","",IFERROR(INDEX('Project Financials'!$D$5:$D$64,MATCH($B34,'Project Financials'!$A$5:$A$64,0)),""))</f>
        <v/>
      </c>
      <c r="F34" s="32"/>
      <c r="G34" s="32"/>
      <c r="H34" s="31"/>
      <c r="I34" s="43" t="str">
        <f aca="false">IF($E34="","",$E34-$G34)</f>
        <v/>
      </c>
      <c r="J34" s="31"/>
      <c r="K34" s="32"/>
      <c r="L34" s="30"/>
      <c r="M34" s="32"/>
      <c r="N34" s="20" t="str">
        <f aca="true">IF($B34="","",_xlfn.IFS(OR($E34="",$E34=0),"Not Invoiced",($G34+$K34)&gt;=$E34,"Paid",AND($J34&lt;&gt;"",TODAY()&gt;$J34,($G34+$K34)&lt;$E34),"Overdue",$G34=0,"Awaiting Deposit",TRUE(),"Part Paid"))</f>
        <v/>
      </c>
      <c r="O34" s="20" t="str">
        <f aca="true">IF($B34="","",IF($N34="Overdue",TODAY()-$J34,0))</f>
        <v/>
      </c>
      <c r="P34" s="34"/>
    </row>
    <row r="35" customFormat="false" ht="21.75" hidden="false" customHeight="true" outlineLevel="0" collapsed="false">
      <c r="A35" s="20" t="str">
        <f aca="false">IF($B35="","",IFERROR(INDEX('Fragrance Projects'!$C$5:$C$64,MATCH($B35,'Fragrance Projects'!$A$5:$A$64,0)),""))</f>
        <v/>
      </c>
      <c r="B35" s="30"/>
      <c r="C35" s="30"/>
      <c r="D35" s="31"/>
      <c r="E35" s="43" t="str">
        <f aca="false">IF($B35="","",IFERROR(INDEX('Project Financials'!$D$5:$D$64,MATCH($B35,'Project Financials'!$A$5:$A$64,0)),""))</f>
        <v/>
      </c>
      <c r="F35" s="32"/>
      <c r="G35" s="32"/>
      <c r="H35" s="31"/>
      <c r="I35" s="43" t="str">
        <f aca="false">IF($E35="","",$E35-$G35)</f>
        <v/>
      </c>
      <c r="J35" s="31"/>
      <c r="K35" s="32"/>
      <c r="L35" s="30"/>
      <c r="M35" s="32"/>
      <c r="N35" s="20" t="str">
        <f aca="true">IF($B35="","",_xlfn.IFS(OR($E35="",$E35=0),"Not Invoiced",($G35+$K35)&gt;=$E35,"Paid",AND($J35&lt;&gt;"",TODAY()&gt;$J35,($G35+$K35)&lt;$E35),"Overdue",$G35=0,"Awaiting Deposit",TRUE(),"Part Paid"))</f>
        <v/>
      </c>
      <c r="O35" s="20" t="str">
        <f aca="true">IF($B35="","",IF($N35="Overdue",TODAY()-$J35,0))</f>
        <v/>
      </c>
      <c r="P35" s="34"/>
    </row>
    <row r="36" customFormat="false" ht="21.75" hidden="false" customHeight="true" outlineLevel="0" collapsed="false">
      <c r="A36" s="20" t="str">
        <f aca="false">IF($B36="","",IFERROR(INDEX('Fragrance Projects'!$C$5:$C$64,MATCH($B36,'Fragrance Projects'!$A$5:$A$64,0)),""))</f>
        <v/>
      </c>
      <c r="B36" s="30"/>
      <c r="C36" s="30"/>
      <c r="D36" s="31"/>
      <c r="E36" s="43" t="str">
        <f aca="false">IF($B36="","",IFERROR(INDEX('Project Financials'!$D$5:$D$64,MATCH($B36,'Project Financials'!$A$5:$A$64,0)),""))</f>
        <v/>
      </c>
      <c r="F36" s="32"/>
      <c r="G36" s="32"/>
      <c r="H36" s="31"/>
      <c r="I36" s="43" t="str">
        <f aca="false">IF($E36="","",$E36-$G36)</f>
        <v/>
      </c>
      <c r="J36" s="31"/>
      <c r="K36" s="32"/>
      <c r="L36" s="30"/>
      <c r="M36" s="32"/>
      <c r="N36" s="20" t="str">
        <f aca="true">IF($B36="","",_xlfn.IFS(OR($E36="",$E36=0),"Not Invoiced",($G36+$K36)&gt;=$E36,"Paid",AND($J36&lt;&gt;"",TODAY()&gt;$J36,($G36+$K36)&lt;$E36),"Overdue",$G36=0,"Awaiting Deposit",TRUE(),"Part Paid"))</f>
        <v/>
      </c>
      <c r="O36" s="20" t="str">
        <f aca="true">IF($B36="","",IF($N36="Overdue",TODAY()-$J36,0))</f>
        <v/>
      </c>
      <c r="P36" s="34"/>
    </row>
    <row r="37" customFormat="false" ht="21.75" hidden="false" customHeight="true" outlineLevel="0" collapsed="false">
      <c r="A37" s="20" t="str">
        <f aca="false">IF($B37="","",IFERROR(INDEX('Fragrance Projects'!$C$5:$C$64,MATCH($B37,'Fragrance Projects'!$A$5:$A$64,0)),""))</f>
        <v/>
      </c>
      <c r="B37" s="30"/>
      <c r="C37" s="30"/>
      <c r="D37" s="31"/>
      <c r="E37" s="43" t="str">
        <f aca="false">IF($B37="","",IFERROR(INDEX('Project Financials'!$D$5:$D$64,MATCH($B37,'Project Financials'!$A$5:$A$64,0)),""))</f>
        <v/>
      </c>
      <c r="F37" s="32"/>
      <c r="G37" s="32"/>
      <c r="H37" s="31"/>
      <c r="I37" s="43" t="str">
        <f aca="false">IF($E37="","",$E37-$G37)</f>
        <v/>
      </c>
      <c r="J37" s="31"/>
      <c r="K37" s="32"/>
      <c r="L37" s="30"/>
      <c r="M37" s="32"/>
      <c r="N37" s="20" t="str">
        <f aca="true">IF($B37="","",_xlfn.IFS(OR($E37="",$E37=0),"Not Invoiced",($G37+$K37)&gt;=$E37,"Paid",AND($J37&lt;&gt;"",TODAY()&gt;$J37,($G37+$K37)&lt;$E37),"Overdue",$G37=0,"Awaiting Deposit",TRUE(),"Part Paid"))</f>
        <v/>
      </c>
      <c r="O37" s="20" t="str">
        <f aca="true">IF($B37="","",IF($N37="Overdue",TODAY()-$J37,0))</f>
        <v/>
      </c>
      <c r="P37" s="34"/>
    </row>
    <row r="38" customFormat="false" ht="21.75" hidden="false" customHeight="true" outlineLevel="0" collapsed="false">
      <c r="A38" s="20" t="str">
        <f aca="false">IF($B38="","",IFERROR(INDEX('Fragrance Projects'!$C$5:$C$64,MATCH($B38,'Fragrance Projects'!$A$5:$A$64,0)),""))</f>
        <v/>
      </c>
      <c r="B38" s="30"/>
      <c r="C38" s="30"/>
      <c r="D38" s="31"/>
      <c r="E38" s="43" t="str">
        <f aca="false">IF($B38="","",IFERROR(INDEX('Project Financials'!$D$5:$D$64,MATCH($B38,'Project Financials'!$A$5:$A$64,0)),""))</f>
        <v/>
      </c>
      <c r="F38" s="32"/>
      <c r="G38" s="32"/>
      <c r="H38" s="31"/>
      <c r="I38" s="43" t="str">
        <f aca="false">IF($E38="","",$E38-$G38)</f>
        <v/>
      </c>
      <c r="J38" s="31"/>
      <c r="K38" s="32"/>
      <c r="L38" s="30"/>
      <c r="M38" s="32"/>
      <c r="N38" s="20" t="str">
        <f aca="true">IF($B38="","",_xlfn.IFS(OR($E38="",$E38=0),"Not Invoiced",($G38+$K38)&gt;=$E38,"Paid",AND($J38&lt;&gt;"",TODAY()&gt;$J38,($G38+$K38)&lt;$E38),"Overdue",$G38=0,"Awaiting Deposit",TRUE(),"Part Paid"))</f>
        <v/>
      </c>
      <c r="O38" s="20" t="str">
        <f aca="true">IF($B38="","",IF($N38="Overdue",TODAY()-$J38,0))</f>
        <v/>
      </c>
      <c r="P38" s="34"/>
    </row>
    <row r="39" customFormat="false" ht="21.75" hidden="false" customHeight="true" outlineLevel="0" collapsed="false">
      <c r="A39" s="20" t="str">
        <f aca="false">IF($B39="","",IFERROR(INDEX('Fragrance Projects'!$C$5:$C$64,MATCH($B39,'Fragrance Projects'!$A$5:$A$64,0)),""))</f>
        <v/>
      </c>
      <c r="B39" s="30"/>
      <c r="C39" s="30"/>
      <c r="D39" s="31"/>
      <c r="E39" s="43" t="str">
        <f aca="false">IF($B39="","",IFERROR(INDEX('Project Financials'!$D$5:$D$64,MATCH($B39,'Project Financials'!$A$5:$A$64,0)),""))</f>
        <v/>
      </c>
      <c r="F39" s="32"/>
      <c r="G39" s="32"/>
      <c r="H39" s="31"/>
      <c r="I39" s="43" t="str">
        <f aca="false">IF($E39="","",$E39-$G39)</f>
        <v/>
      </c>
      <c r="J39" s="31"/>
      <c r="K39" s="32"/>
      <c r="L39" s="30"/>
      <c r="M39" s="32"/>
      <c r="N39" s="20" t="str">
        <f aca="true">IF($B39="","",_xlfn.IFS(OR($E39="",$E39=0),"Not Invoiced",($G39+$K39)&gt;=$E39,"Paid",AND($J39&lt;&gt;"",TODAY()&gt;$J39,($G39+$K39)&lt;$E39),"Overdue",$G39=0,"Awaiting Deposit",TRUE(),"Part Paid"))</f>
        <v/>
      </c>
      <c r="O39" s="20" t="str">
        <f aca="true">IF($B39="","",IF($N39="Overdue",TODAY()-$J39,0))</f>
        <v/>
      </c>
      <c r="P39" s="34"/>
    </row>
    <row r="40" customFormat="false" ht="21.75" hidden="false" customHeight="true" outlineLevel="0" collapsed="false">
      <c r="A40" s="20" t="str">
        <f aca="false">IF($B40="","",IFERROR(INDEX('Fragrance Projects'!$C$5:$C$64,MATCH($B40,'Fragrance Projects'!$A$5:$A$64,0)),""))</f>
        <v/>
      </c>
      <c r="B40" s="30"/>
      <c r="C40" s="30"/>
      <c r="D40" s="31"/>
      <c r="E40" s="43" t="str">
        <f aca="false">IF($B40="","",IFERROR(INDEX('Project Financials'!$D$5:$D$64,MATCH($B40,'Project Financials'!$A$5:$A$64,0)),""))</f>
        <v/>
      </c>
      <c r="F40" s="32"/>
      <c r="G40" s="32"/>
      <c r="H40" s="31"/>
      <c r="I40" s="43" t="str">
        <f aca="false">IF($E40="","",$E40-$G40)</f>
        <v/>
      </c>
      <c r="J40" s="31"/>
      <c r="K40" s="32"/>
      <c r="L40" s="30"/>
      <c r="M40" s="32"/>
      <c r="N40" s="20" t="str">
        <f aca="true">IF($B40="","",_xlfn.IFS(OR($E40="",$E40=0),"Not Invoiced",($G40+$K40)&gt;=$E40,"Paid",AND($J40&lt;&gt;"",TODAY()&gt;$J40,($G40+$K40)&lt;$E40),"Overdue",$G40=0,"Awaiting Deposit",TRUE(),"Part Paid"))</f>
        <v/>
      </c>
      <c r="O40" s="20" t="str">
        <f aca="true">IF($B40="","",IF($N40="Overdue",TODAY()-$J40,0))</f>
        <v/>
      </c>
      <c r="P40" s="34"/>
    </row>
    <row r="41" customFormat="false" ht="21.75" hidden="false" customHeight="true" outlineLevel="0" collapsed="false">
      <c r="A41" s="20" t="str">
        <f aca="false">IF($B41="","",IFERROR(INDEX('Fragrance Projects'!$C$5:$C$64,MATCH($B41,'Fragrance Projects'!$A$5:$A$64,0)),""))</f>
        <v/>
      </c>
      <c r="B41" s="30"/>
      <c r="C41" s="30"/>
      <c r="D41" s="31"/>
      <c r="E41" s="43" t="str">
        <f aca="false">IF($B41="","",IFERROR(INDEX('Project Financials'!$D$5:$D$64,MATCH($B41,'Project Financials'!$A$5:$A$64,0)),""))</f>
        <v/>
      </c>
      <c r="F41" s="32"/>
      <c r="G41" s="32"/>
      <c r="H41" s="31"/>
      <c r="I41" s="43" t="str">
        <f aca="false">IF($E41="","",$E41-$G41)</f>
        <v/>
      </c>
      <c r="J41" s="31"/>
      <c r="K41" s="32"/>
      <c r="L41" s="30"/>
      <c r="M41" s="32"/>
      <c r="N41" s="20" t="str">
        <f aca="true">IF($B41="","",_xlfn.IFS(OR($E41="",$E41=0),"Not Invoiced",($G41+$K41)&gt;=$E41,"Paid",AND($J41&lt;&gt;"",TODAY()&gt;$J41,($G41+$K41)&lt;$E41),"Overdue",$G41=0,"Awaiting Deposit",TRUE(),"Part Paid"))</f>
        <v/>
      </c>
      <c r="O41" s="20" t="str">
        <f aca="true">IF($B41="","",IF($N41="Overdue",TODAY()-$J41,0))</f>
        <v/>
      </c>
      <c r="P41" s="34"/>
    </row>
    <row r="42" customFormat="false" ht="21.75" hidden="false" customHeight="true" outlineLevel="0" collapsed="false">
      <c r="A42" s="20" t="str">
        <f aca="false">IF($B42="","",IFERROR(INDEX('Fragrance Projects'!$C$5:$C$64,MATCH($B42,'Fragrance Projects'!$A$5:$A$64,0)),""))</f>
        <v/>
      </c>
      <c r="B42" s="30"/>
      <c r="C42" s="30"/>
      <c r="D42" s="31"/>
      <c r="E42" s="43" t="str">
        <f aca="false">IF($B42="","",IFERROR(INDEX('Project Financials'!$D$5:$D$64,MATCH($B42,'Project Financials'!$A$5:$A$64,0)),""))</f>
        <v/>
      </c>
      <c r="F42" s="32"/>
      <c r="G42" s="32"/>
      <c r="H42" s="31"/>
      <c r="I42" s="43" t="str">
        <f aca="false">IF($E42="","",$E42-$G42)</f>
        <v/>
      </c>
      <c r="J42" s="31"/>
      <c r="K42" s="32"/>
      <c r="L42" s="30"/>
      <c r="M42" s="32"/>
      <c r="N42" s="20" t="str">
        <f aca="true">IF($B42="","",_xlfn.IFS(OR($E42="",$E42=0),"Not Invoiced",($G42+$K42)&gt;=$E42,"Paid",AND($J42&lt;&gt;"",TODAY()&gt;$J42,($G42+$K42)&lt;$E42),"Overdue",$G42=0,"Awaiting Deposit",TRUE(),"Part Paid"))</f>
        <v/>
      </c>
      <c r="O42" s="20" t="str">
        <f aca="true">IF($B42="","",IF($N42="Overdue",TODAY()-$J42,0))</f>
        <v/>
      </c>
      <c r="P42" s="34"/>
    </row>
    <row r="43" customFormat="false" ht="21.75" hidden="false" customHeight="true" outlineLevel="0" collapsed="false">
      <c r="A43" s="20" t="str">
        <f aca="false">IF($B43="","",IFERROR(INDEX('Fragrance Projects'!$C$5:$C$64,MATCH($B43,'Fragrance Projects'!$A$5:$A$64,0)),""))</f>
        <v/>
      </c>
      <c r="B43" s="30"/>
      <c r="C43" s="30"/>
      <c r="D43" s="31"/>
      <c r="E43" s="43" t="str">
        <f aca="false">IF($B43="","",IFERROR(INDEX('Project Financials'!$D$5:$D$64,MATCH($B43,'Project Financials'!$A$5:$A$64,0)),""))</f>
        <v/>
      </c>
      <c r="F43" s="32"/>
      <c r="G43" s="32"/>
      <c r="H43" s="31"/>
      <c r="I43" s="43" t="str">
        <f aca="false">IF($E43="","",$E43-$G43)</f>
        <v/>
      </c>
      <c r="J43" s="31"/>
      <c r="K43" s="32"/>
      <c r="L43" s="30"/>
      <c r="M43" s="32"/>
      <c r="N43" s="20" t="str">
        <f aca="true">IF($B43="","",_xlfn.IFS(OR($E43="",$E43=0),"Not Invoiced",($G43+$K43)&gt;=$E43,"Paid",AND($J43&lt;&gt;"",TODAY()&gt;$J43,($G43+$K43)&lt;$E43),"Overdue",$G43=0,"Awaiting Deposit",TRUE(),"Part Paid"))</f>
        <v/>
      </c>
      <c r="O43" s="20" t="str">
        <f aca="true">IF($B43="","",IF($N43="Overdue",TODAY()-$J43,0))</f>
        <v/>
      </c>
      <c r="P43" s="34"/>
    </row>
    <row r="44" customFormat="false" ht="21.75" hidden="false" customHeight="true" outlineLevel="0" collapsed="false">
      <c r="A44" s="20" t="str">
        <f aca="false">IF($B44="","",IFERROR(INDEX('Fragrance Projects'!$C$5:$C$64,MATCH($B44,'Fragrance Projects'!$A$5:$A$64,0)),""))</f>
        <v/>
      </c>
      <c r="B44" s="30"/>
      <c r="C44" s="30"/>
      <c r="D44" s="31"/>
      <c r="E44" s="43" t="str">
        <f aca="false">IF($B44="","",IFERROR(INDEX('Project Financials'!$D$5:$D$64,MATCH($B44,'Project Financials'!$A$5:$A$64,0)),""))</f>
        <v/>
      </c>
      <c r="F44" s="32"/>
      <c r="G44" s="32"/>
      <c r="H44" s="31"/>
      <c r="I44" s="43" t="str">
        <f aca="false">IF($E44="","",$E44-$G44)</f>
        <v/>
      </c>
      <c r="J44" s="31"/>
      <c r="K44" s="32"/>
      <c r="L44" s="30"/>
      <c r="M44" s="32"/>
      <c r="N44" s="20" t="str">
        <f aca="true">IF($B44="","",_xlfn.IFS(OR($E44="",$E44=0),"Not Invoiced",($G44+$K44)&gt;=$E44,"Paid",AND($J44&lt;&gt;"",TODAY()&gt;$J44,($G44+$K44)&lt;$E44),"Overdue",$G44=0,"Awaiting Deposit",TRUE(),"Part Paid"))</f>
        <v/>
      </c>
      <c r="O44" s="20" t="str">
        <f aca="true">IF($B44="","",IF($N44="Overdue",TODAY()-$J44,0))</f>
        <v/>
      </c>
      <c r="P44" s="34"/>
    </row>
    <row r="45" customFormat="false" ht="21.75" hidden="false" customHeight="true" outlineLevel="0" collapsed="false">
      <c r="A45" s="20" t="str">
        <f aca="false">IF($B45="","",IFERROR(INDEX('Fragrance Projects'!$C$5:$C$64,MATCH($B45,'Fragrance Projects'!$A$5:$A$64,0)),""))</f>
        <v/>
      </c>
      <c r="B45" s="30"/>
      <c r="C45" s="30"/>
      <c r="D45" s="31"/>
      <c r="E45" s="43" t="str">
        <f aca="false">IF($B45="","",IFERROR(INDEX('Project Financials'!$D$5:$D$64,MATCH($B45,'Project Financials'!$A$5:$A$64,0)),""))</f>
        <v/>
      </c>
      <c r="F45" s="32"/>
      <c r="G45" s="32"/>
      <c r="H45" s="31"/>
      <c r="I45" s="43" t="str">
        <f aca="false">IF($E45="","",$E45-$G45)</f>
        <v/>
      </c>
      <c r="J45" s="31"/>
      <c r="K45" s="32"/>
      <c r="L45" s="30"/>
      <c r="M45" s="32"/>
      <c r="N45" s="20" t="str">
        <f aca="true">IF($B45="","",_xlfn.IFS(OR($E45="",$E45=0),"Not Invoiced",($G45+$K45)&gt;=$E45,"Paid",AND($J45&lt;&gt;"",TODAY()&gt;$J45,($G45+$K45)&lt;$E45),"Overdue",$G45=0,"Awaiting Deposit",TRUE(),"Part Paid"))</f>
        <v/>
      </c>
      <c r="O45" s="20" t="str">
        <f aca="true">IF($B45="","",IF($N45="Overdue",TODAY()-$J45,0))</f>
        <v/>
      </c>
      <c r="P45" s="34"/>
    </row>
    <row r="46" customFormat="false" ht="21.75" hidden="false" customHeight="true" outlineLevel="0" collapsed="false">
      <c r="A46" s="20" t="str">
        <f aca="false">IF($B46="","",IFERROR(INDEX('Fragrance Projects'!$C$5:$C$64,MATCH($B46,'Fragrance Projects'!$A$5:$A$64,0)),""))</f>
        <v/>
      </c>
      <c r="B46" s="30"/>
      <c r="C46" s="30"/>
      <c r="D46" s="31"/>
      <c r="E46" s="43" t="str">
        <f aca="false">IF($B46="","",IFERROR(INDEX('Project Financials'!$D$5:$D$64,MATCH($B46,'Project Financials'!$A$5:$A$64,0)),""))</f>
        <v/>
      </c>
      <c r="F46" s="32"/>
      <c r="G46" s="32"/>
      <c r="H46" s="31"/>
      <c r="I46" s="43" t="str">
        <f aca="false">IF($E46="","",$E46-$G46)</f>
        <v/>
      </c>
      <c r="J46" s="31"/>
      <c r="K46" s="32"/>
      <c r="L46" s="30"/>
      <c r="M46" s="32"/>
      <c r="N46" s="20" t="str">
        <f aca="true">IF($B46="","",_xlfn.IFS(OR($E46="",$E46=0),"Not Invoiced",($G46+$K46)&gt;=$E46,"Paid",AND($J46&lt;&gt;"",TODAY()&gt;$J46,($G46+$K46)&lt;$E46),"Overdue",$G46=0,"Awaiting Deposit",TRUE(),"Part Paid"))</f>
        <v/>
      </c>
      <c r="O46" s="20" t="str">
        <f aca="true">IF($B46="","",IF($N46="Overdue",TODAY()-$J46,0))</f>
        <v/>
      </c>
      <c r="P46" s="34"/>
    </row>
    <row r="47" customFormat="false" ht="21.75" hidden="false" customHeight="true" outlineLevel="0" collapsed="false">
      <c r="A47" s="20" t="str">
        <f aca="false">IF($B47="","",IFERROR(INDEX('Fragrance Projects'!$C$5:$C$64,MATCH($B47,'Fragrance Projects'!$A$5:$A$64,0)),""))</f>
        <v/>
      </c>
      <c r="B47" s="30"/>
      <c r="C47" s="30"/>
      <c r="D47" s="31"/>
      <c r="E47" s="43" t="str">
        <f aca="false">IF($B47="","",IFERROR(INDEX('Project Financials'!$D$5:$D$64,MATCH($B47,'Project Financials'!$A$5:$A$64,0)),""))</f>
        <v/>
      </c>
      <c r="F47" s="32"/>
      <c r="G47" s="32"/>
      <c r="H47" s="31"/>
      <c r="I47" s="43" t="str">
        <f aca="false">IF($E47="","",$E47-$G47)</f>
        <v/>
      </c>
      <c r="J47" s="31"/>
      <c r="K47" s="32"/>
      <c r="L47" s="30"/>
      <c r="M47" s="32"/>
      <c r="N47" s="20" t="str">
        <f aca="true">IF($B47="","",_xlfn.IFS(OR($E47="",$E47=0),"Not Invoiced",($G47+$K47)&gt;=$E47,"Paid",AND($J47&lt;&gt;"",TODAY()&gt;$J47,($G47+$K47)&lt;$E47),"Overdue",$G47=0,"Awaiting Deposit",TRUE(),"Part Paid"))</f>
        <v/>
      </c>
      <c r="O47" s="20" t="str">
        <f aca="true">IF($B47="","",IF($N47="Overdue",TODAY()-$J47,0))</f>
        <v/>
      </c>
      <c r="P47" s="34"/>
    </row>
    <row r="48" customFormat="false" ht="21.75" hidden="false" customHeight="true" outlineLevel="0" collapsed="false">
      <c r="A48" s="20" t="str">
        <f aca="false">IF($B48="","",IFERROR(INDEX('Fragrance Projects'!$C$5:$C$64,MATCH($B48,'Fragrance Projects'!$A$5:$A$64,0)),""))</f>
        <v/>
      </c>
      <c r="B48" s="30"/>
      <c r="C48" s="30"/>
      <c r="D48" s="31"/>
      <c r="E48" s="43" t="str">
        <f aca="false">IF($B48="","",IFERROR(INDEX('Project Financials'!$D$5:$D$64,MATCH($B48,'Project Financials'!$A$5:$A$64,0)),""))</f>
        <v/>
      </c>
      <c r="F48" s="32"/>
      <c r="G48" s="32"/>
      <c r="H48" s="31"/>
      <c r="I48" s="43" t="str">
        <f aca="false">IF($E48="","",$E48-$G48)</f>
        <v/>
      </c>
      <c r="J48" s="31"/>
      <c r="K48" s="32"/>
      <c r="L48" s="30"/>
      <c r="M48" s="32"/>
      <c r="N48" s="20" t="str">
        <f aca="true">IF($B48="","",_xlfn.IFS(OR($E48="",$E48=0),"Not Invoiced",($G48+$K48)&gt;=$E48,"Paid",AND($J48&lt;&gt;"",TODAY()&gt;$J48,($G48+$K48)&lt;$E48),"Overdue",$G48=0,"Awaiting Deposit",TRUE(),"Part Paid"))</f>
        <v/>
      </c>
      <c r="O48" s="20" t="str">
        <f aca="true">IF($B48="","",IF($N48="Overdue",TODAY()-$J48,0))</f>
        <v/>
      </c>
      <c r="P48" s="34"/>
    </row>
    <row r="49" customFormat="false" ht="21.75" hidden="false" customHeight="true" outlineLevel="0" collapsed="false">
      <c r="A49" s="20" t="str">
        <f aca="false">IF($B49="","",IFERROR(INDEX('Fragrance Projects'!$C$5:$C$64,MATCH($B49,'Fragrance Projects'!$A$5:$A$64,0)),""))</f>
        <v/>
      </c>
      <c r="B49" s="30"/>
      <c r="C49" s="30"/>
      <c r="D49" s="31"/>
      <c r="E49" s="43" t="str">
        <f aca="false">IF($B49="","",IFERROR(INDEX('Project Financials'!$D$5:$D$64,MATCH($B49,'Project Financials'!$A$5:$A$64,0)),""))</f>
        <v/>
      </c>
      <c r="F49" s="32"/>
      <c r="G49" s="32"/>
      <c r="H49" s="31"/>
      <c r="I49" s="43" t="str">
        <f aca="false">IF($E49="","",$E49-$G49)</f>
        <v/>
      </c>
      <c r="J49" s="31"/>
      <c r="K49" s="32"/>
      <c r="L49" s="30"/>
      <c r="M49" s="32"/>
      <c r="N49" s="20" t="str">
        <f aca="true">IF($B49="","",_xlfn.IFS(OR($E49="",$E49=0),"Not Invoiced",($G49+$K49)&gt;=$E49,"Paid",AND($J49&lt;&gt;"",TODAY()&gt;$J49,($G49+$K49)&lt;$E49),"Overdue",$G49=0,"Awaiting Deposit",TRUE(),"Part Paid"))</f>
        <v/>
      </c>
      <c r="O49" s="20" t="str">
        <f aca="true">IF($B49="","",IF($N49="Overdue",TODAY()-$J49,0))</f>
        <v/>
      </c>
      <c r="P49" s="34"/>
    </row>
    <row r="50" customFormat="false" ht="21.75" hidden="false" customHeight="true" outlineLevel="0" collapsed="false">
      <c r="A50" s="20" t="str">
        <f aca="false">IF($B50="","",IFERROR(INDEX('Fragrance Projects'!$C$5:$C$64,MATCH($B50,'Fragrance Projects'!$A$5:$A$64,0)),""))</f>
        <v/>
      </c>
      <c r="B50" s="30"/>
      <c r="C50" s="30"/>
      <c r="D50" s="31"/>
      <c r="E50" s="43" t="str">
        <f aca="false">IF($B50="","",IFERROR(INDEX('Project Financials'!$D$5:$D$64,MATCH($B50,'Project Financials'!$A$5:$A$64,0)),""))</f>
        <v/>
      </c>
      <c r="F50" s="32"/>
      <c r="G50" s="32"/>
      <c r="H50" s="31"/>
      <c r="I50" s="43" t="str">
        <f aca="false">IF($E50="","",$E50-$G50)</f>
        <v/>
      </c>
      <c r="J50" s="31"/>
      <c r="K50" s="32"/>
      <c r="L50" s="30"/>
      <c r="M50" s="32"/>
      <c r="N50" s="20" t="str">
        <f aca="true">IF($B50="","",_xlfn.IFS(OR($E50="",$E50=0),"Not Invoiced",($G50+$K50)&gt;=$E50,"Paid",AND($J50&lt;&gt;"",TODAY()&gt;$J50,($G50+$K50)&lt;$E50),"Overdue",$G50=0,"Awaiting Deposit",TRUE(),"Part Paid"))</f>
        <v/>
      </c>
      <c r="O50" s="20" t="str">
        <f aca="true">IF($B50="","",IF($N50="Overdue",TODAY()-$J50,0))</f>
        <v/>
      </c>
      <c r="P50" s="34"/>
    </row>
    <row r="51" customFormat="false" ht="21.75" hidden="false" customHeight="true" outlineLevel="0" collapsed="false">
      <c r="A51" s="20" t="str">
        <f aca="false">IF($B51="","",IFERROR(INDEX('Fragrance Projects'!$C$5:$C$64,MATCH($B51,'Fragrance Projects'!$A$5:$A$64,0)),""))</f>
        <v/>
      </c>
      <c r="B51" s="30"/>
      <c r="C51" s="30"/>
      <c r="D51" s="31"/>
      <c r="E51" s="43" t="str">
        <f aca="false">IF($B51="","",IFERROR(INDEX('Project Financials'!$D$5:$D$64,MATCH($B51,'Project Financials'!$A$5:$A$64,0)),""))</f>
        <v/>
      </c>
      <c r="F51" s="32"/>
      <c r="G51" s="32"/>
      <c r="H51" s="31"/>
      <c r="I51" s="43" t="str">
        <f aca="false">IF($E51="","",$E51-$G51)</f>
        <v/>
      </c>
      <c r="J51" s="31"/>
      <c r="K51" s="32"/>
      <c r="L51" s="30"/>
      <c r="M51" s="32"/>
      <c r="N51" s="20" t="str">
        <f aca="true">IF($B51="","",_xlfn.IFS(OR($E51="",$E51=0),"Not Invoiced",($G51+$K51)&gt;=$E51,"Paid",AND($J51&lt;&gt;"",TODAY()&gt;$J51,($G51+$K51)&lt;$E51),"Overdue",$G51=0,"Awaiting Deposit",TRUE(),"Part Paid"))</f>
        <v/>
      </c>
      <c r="O51" s="20" t="str">
        <f aca="true">IF($B51="","",IF($N51="Overdue",TODAY()-$J51,0))</f>
        <v/>
      </c>
      <c r="P51" s="34"/>
    </row>
    <row r="52" customFormat="false" ht="21.75" hidden="false" customHeight="true" outlineLevel="0" collapsed="false">
      <c r="A52" s="20" t="str">
        <f aca="false">IF($B52="","",IFERROR(INDEX('Fragrance Projects'!$C$5:$C$64,MATCH($B52,'Fragrance Projects'!$A$5:$A$64,0)),""))</f>
        <v/>
      </c>
      <c r="B52" s="30"/>
      <c r="C52" s="30"/>
      <c r="D52" s="31"/>
      <c r="E52" s="43" t="str">
        <f aca="false">IF($B52="","",IFERROR(INDEX('Project Financials'!$D$5:$D$64,MATCH($B52,'Project Financials'!$A$5:$A$64,0)),""))</f>
        <v/>
      </c>
      <c r="F52" s="32"/>
      <c r="G52" s="32"/>
      <c r="H52" s="31"/>
      <c r="I52" s="43" t="str">
        <f aca="false">IF($E52="","",$E52-$G52)</f>
        <v/>
      </c>
      <c r="J52" s="31"/>
      <c r="K52" s="32"/>
      <c r="L52" s="30"/>
      <c r="M52" s="32"/>
      <c r="N52" s="20" t="str">
        <f aca="true">IF($B52="","",_xlfn.IFS(OR($E52="",$E52=0),"Not Invoiced",($G52+$K52)&gt;=$E52,"Paid",AND($J52&lt;&gt;"",TODAY()&gt;$J52,($G52+$K52)&lt;$E52),"Overdue",$G52=0,"Awaiting Deposit",TRUE(),"Part Paid"))</f>
        <v/>
      </c>
      <c r="O52" s="20" t="str">
        <f aca="true">IF($B52="","",IF($N52="Overdue",TODAY()-$J52,0))</f>
        <v/>
      </c>
      <c r="P52" s="34"/>
    </row>
    <row r="53" customFormat="false" ht="21.75" hidden="false" customHeight="true" outlineLevel="0" collapsed="false">
      <c r="A53" s="20" t="str">
        <f aca="false">IF($B53="","",IFERROR(INDEX('Fragrance Projects'!$C$5:$C$64,MATCH($B53,'Fragrance Projects'!$A$5:$A$64,0)),""))</f>
        <v/>
      </c>
      <c r="B53" s="30"/>
      <c r="C53" s="30"/>
      <c r="D53" s="31"/>
      <c r="E53" s="43" t="str">
        <f aca="false">IF($B53="","",IFERROR(INDEX('Project Financials'!$D$5:$D$64,MATCH($B53,'Project Financials'!$A$5:$A$64,0)),""))</f>
        <v/>
      </c>
      <c r="F53" s="32"/>
      <c r="G53" s="32"/>
      <c r="H53" s="31"/>
      <c r="I53" s="43" t="str">
        <f aca="false">IF($E53="","",$E53-$G53)</f>
        <v/>
      </c>
      <c r="J53" s="31"/>
      <c r="K53" s="32"/>
      <c r="L53" s="30"/>
      <c r="M53" s="32"/>
      <c r="N53" s="20" t="str">
        <f aca="true">IF($B53="","",_xlfn.IFS(OR($E53="",$E53=0),"Not Invoiced",($G53+$K53)&gt;=$E53,"Paid",AND($J53&lt;&gt;"",TODAY()&gt;$J53,($G53+$K53)&lt;$E53),"Overdue",$G53=0,"Awaiting Deposit",TRUE(),"Part Paid"))</f>
        <v/>
      </c>
      <c r="O53" s="20" t="str">
        <f aca="true">IF($B53="","",IF($N53="Overdue",TODAY()-$J53,0))</f>
        <v/>
      </c>
      <c r="P53" s="34"/>
    </row>
    <row r="54" customFormat="false" ht="21.75" hidden="false" customHeight="true" outlineLevel="0" collapsed="false">
      <c r="A54" s="20" t="str">
        <f aca="false">IF($B54="","",IFERROR(INDEX('Fragrance Projects'!$C$5:$C$64,MATCH($B54,'Fragrance Projects'!$A$5:$A$64,0)),""))</f>
        <v/>
      </c>
      <c r="B54" s="30"/>
      <c r="C54" s="30"/>
      <c r="D54" s="31"/>
      <c r="E54" s="43" t="str">
        <f aca="false">IF($B54="","",IFERROR(INDEX('Project Financials'!$D$5:$D$64,MATCH($B54,'Project Financials'!$A$5:$A$64,0)),""))</f>
        <v/>
      </c>
      <c r="F54" s="32"/>
      <c r="G54" s="32"/>
      <c r="H54" s="31"/>
      <c r="I54" s="43" t="str">
        <f aca="false">IF($E54="","",$E54-$G54)</f>
        <v/>
      </c>
      <c r="J54" s="31"/>
      <c r="K54" s="32"/>
      <c r="L54" s="30"/>
      <c r="M54" s="32"/>
      <c r="N54" s="20" t="str">
        <f aca="true">IF($B54="","",_xlfn.IFS(OR($E54="",$E54=0),"Not Invoiced",($G54+$K54)&gt;=$E54,"Paid",AND($J54&lt;&gt;"",TODAY()&gt;$J54,($G54+$K54)&lt;$E54),"Overdue",$G54=0,"Awaiting Deposit",TRUE(),"Part Paid"))</f>
        <v/>
      </c>
      <c r="O54" s="20" t="str">
        <f aca="true">IF($B54="","",IF($N54="Overdue",TODAY()-$J54,0))</f>
        <v/>
      </c>
      <c r="P54" s="34"/>
    </row>
    <row r="55" customFormat="false" ht="21.75" hidden="false" customHeight="true" outlineLevel="0" collapsed="false">
      <c r="A55" s="20" t="str">
        <f aca="false">IF($B55="","",IFERROR(INDEX('Fragrance Projects'!$C$5:$C$64,MATCH($B55,'Fragrance Projects'!$A$5:$A$64,0)),""))</f>
        <v/>
      </c>
      <c r="B55" s="30"/>
      <c r="C55" s="30"/>
      <c r="D55" s="31"/>
      <c r="E55" s="43" t="str">
        <f aca="false">IF($B55="","",IFERROR(INDEX('Project Financials'!$D$5:$D$64,MATCH($B55,'Project Financials'!$A$5:$A$64,0)),""))</f>
        <v/>
      </c>
      <c r="F55" s="32"/>
      <c r="G55" s="32"/>
      <c r="H55" s="31"/>
      <c r="I55" s="43" t="str">
        <f aca="false">IF($E55="","",$E55-$G55)</f>
        <v/>
      </c>
      <c r="J55" s="31"/>
      <c r="K55" s="32"/>
      <c r="L55" s="30"/>
      <c r="M55" s="32"/>
      <c r="N55" s="20" t="str">
        <f aca="true">IF($B55="","",_xlfn.IFS(OR($E55="",$E55=0),"Not Invoiced",($G55+$K55)&gt;=$E55,"Paid",AND($J55&lt;&gt;"",TODAY()&gt;$J55,($G55+$K55)&lt;$E55),"Overdue",$G55=0,"Awaiting Deposit",TRUE(),"Part Paid"))</f>
        <v/>
      </c>
      <c r="O55" s="20" t="str">
        <f aca="true">IF($B55="","",IF($N55="Overdue",TODAY()-$J55,0))</f>
        <v/>
      </c>
      <c r="P55" s="34"/>
    </row>
    <row r="56" customFormat="false" ht="21.75" hidden="false" customHeight="true" outlineLevel="0" collapsed="false">
      <c r="A56" s="20" t="str">
        <f aca="false">IF($B56="","",IFERROR(INDEX('Fragrance Projects'!$C$5:$C$64,MATCH($B56,'Fragrance Projects'!$A$5:$A$64,0)),""))</f>
        <v/>
      </c>
      <c r="B56" s="30"/>
      <c r="C56" s="30"/>
      <c r="D56" s="31"/>
      <c r="E56" s="43" t="str">
        <f aca="false">IF($B56="","",IFERROR(INDEX('Project Financials'!$D$5:$D$64,MATCH($B56,'Project Financials'!$A$5:$A$64,0)),""))</f>
        <v/>
      </c>
      <c r="F56" s="32"/>
      <c r="G56" s="32"/>
      <c r="H56" s="31"/>
      <c r="I56" s="43" t="str">
        <f aca="false">IF($E56="","",$E56-$G56)</f>
        <v/>
      </c>
      <c r="J56" s="31"/>
      <c r="K56" s="32"/>
      <c r="L56" s="30"/>
      <c r="M56" s="32"/>
      <c r="N56" s="20" t="str">
        <f aca="true">IF($B56="","",_xlfn.IFS(OR($E56="",$E56=0),"Not Invoiced",($G56+$K56)&gt;=$E56,"Paid",AND($J56&lt;&gt;"",TODAY()&gt;$J56,($G56+$K56)&lt;$E56),"Overdue",$G56=0,"Awaiting Deposit",TRUE(),"Part Paid"))</f>
        <v/>
      </c>
      <c r="O56" s="20" t="str">
        <f aca="true">IF($B56="","",IF($N56="Overdue",TODAY()-$J56,0))</f>
        <v/>
      </c>
      <c r="P56" s="34"/>
    </row>
    <row r="57" customFormat="false" ht="21.75" hidden="false" customHeight="true" outlineLevel="0" collapsed="false">
      <c r="A57" s="20" t="str">
        <f aca="false">IF($B57="","",IFERROR(INDEX('Fragrance Projects'!$C$5:$C$64,MATCH($B57,'Fragrance Projects'!$A$5:$A$64,0)),""))</f>
        <v/>
      </c>
      <c r="B57" s="30"/>
      <c r="C57" s="30"/>
      <c r="D57" s="31"/>
      <c r="E57" s="43" t="str">
        <f aca="false">IF($B57="","",IFERROR(INDEX('Project Financials'!$D$5:$D$64,MATCH($B57,'Project Financials'!$A$5:$A$64,0)),""))</f>
        <v/>
      </c>
      <c r="F57" s="32"/>
      <c r="G57" s="32"/>
      <c r="H57" s="31"/>
      <c r="I57" s="43" t="str">
        <f aca="false">IF($E57="","",$E57-$G57)</f>
        <v/>
      </c>
      <c r="J57" s="31"/>
      <c r="K57" s="32"/>
      <c r="L57" s="30"/>
      <c r="M57" s="32"/>
      <c r="N57" s="20" t="str">
        <f aca="true">IF($B57="","",_xlfn.IFS(OR($E57="",$E57=0),"Not Invoiced",($G57+$K57)&gt;=$E57,"Paid",AND($J57&lt;&gt;"",TODAY()&gt;$J57,($G57+$K57)&lt;$E57),"Overdue",$G57=0,"Awaiting Deposit",TRUE(),"Part Paid"))</f>
        <v/>
      </c>
      <c r="O57" s="20" t="str">
        <f aca="true">IF($B57="","",IF($N57="Overdue",TODAY()-$J57,0))</f>
        <v/>
      </c>
      <c r="P57" s="34"/>
    </row>
    <row r="58" customFormat="false" ht="21.75" hidden="false" customHeight="true" outlineLevel="0" collapsed="false">
      <c r="A58" s="20" t="str">
        <f aca="false">IF($B58="","",IFERROR(INDEX('Fragrance Projects'!$C$5:$C$64,MATCH($B58,'Fragrance Projects'!$A$5:$A$64,0)),""))</f>
        <v/>
      </c>
      <c r="B58" s="30"/>
      <c r="C58" s="30"/>
      <c r="D58" s="31"/>
      <c r="E58" s="43" t="str">
        <f aca="false">IF($B58="","",IFERROR(INDEX('Project Financials'!$D$5:$D$64,MATCH($B58,'Project Financials'!$A$5:$A$64,0)),""))</f>
        <v/>
      </c>
      <c r="F58" s="32"/>
      <c r="G58" s="32"/>
      <c r="H58" s="31"/>
      <c r="I58" s="43" t="str">
        <f aca="false">IF($E58="","",$E58-$G58)</f>
        <v/>
      </c>
      <c r="J58" s="31"/>
      <c r="K58" s="32"/>
      <c r="L58" s="30"/>
      <c r="M58" s="32"/>
      <c r="N58" s="20" t="str">
        <f aca="true">IF($B58="","",_xlfn.IFS(OR($E58="",$E58=0),"Not Invoiced",($G58+$K58)&gt;=$E58,"Paid",AND($J58&lt;&gt;"",TODAY()&gt;$J58,($G58+$K58)&lt;$E58),"Overdue",$G58=0,"Awaiting Deposit",TRUE(),"Part Paid"))</f>
        <v/>
      </c>
      <c r="O58" s="20" t="str">
        <f aca="true">IF($B58="","",IF($N58="Overdue",TODAY()-$J58,0))</f>
        <v/>
      </c>
      <c r="P58" s="34"/>
    </row>
    <row r="59" customFormat="false" ht="21.75" hidden="false" customHeight="true" outlineLevel="0" collapsed="false">
      <c r="A59" s="20" t="str">
        <f aca="false">IF($B59="","",IFERROR(INDEX('Fragrance Projects'!$C$5:$C$64,MATCH($B59,'Fragrance Projects'!$A$5:$A$64,0)),""))</f>
        <v/>
      </c>
      <c r="B59" s="30"/>
      <c r="C59" s="30"/>
      <c r="D59" s="31"/>
      <c r="E59" s="43" t="str">
        <f aca="false">IF($B59="","",IFERROR(INDEX('Project Financials'!$D$5:$D$64,MATCH($B59,'Project Financials'!$A$5:$A$64,0)),""))</f>
        <v/>
      </c>
      <c r="F59" s="32"/>
      <c r="G59" s="32"/>
      <c r="H59" s="31"/>
      <c r="I59" s="43" t="str">
        <f aca="false">IF($E59="","",$E59-$G59)</f>
        <v/>
      </c>
      <c r="J59" s="31"/>
      <c r="K59" s="32"/>
      <c r="L59" s="30"/>
      <c r="M59" s="32"/>
      <c r="N59" s="20" t="str">
        <f aca="true">IF($B59="","",_xlfn.IFS(OR($E59="",$E59=0),"Not Invoiced",($G59+$K59)&gt;=$E59,"Paid",AND($J59&lt;&gt;"",TODAY()&gt;$J59,($G59+$K59)&lt;$E59),"Overdue",$G59=0,"Awaiting Deposit",TRUE(),"Part Paid"))</f>
        <v/>
      </c>
      <c r="O59" s="20" t="str">
        <f aca="true">IF($B59="","",IF($N59="Overdue",TODAY()-$J59,0))</f>
        <v/>
      </c>
      <c r="P59" s="34"/>
    </row>
    <row r="60" customFormat="false" ht="21.75" hidden="false" customHeight="true" outlineLevel="0" collapsed="false">
      <c r="A60" s="20" t="str">
        <f aca="false">IF($B60="","",IFERROR(INDEX('Fragrance Projects'!$C$5:$C$64,MATCH($B60,'Fragrance Projects'!$A$5:$A$64,0)),""))</f>
        <v/>
      </c>
      <c r="B60" s="30"/>
      <c r="C60" s="30"/>
      <c r="D60" s="31"/>
      <c r="E60" s="43" t="str">
        <f aca="false">IF($B60="","",IFERROR(INDEX('Project Financials'!$D$5:$D$64,MATCH($B60,'Project Financials'!$A$5:$A$64,0)),""))</f>
        <v/>
      </c>
      <c r="F60" s="32"/>
      <c r="G60" s="32"/>
      <c r="H60" s="31"/>
      <c r="I60" s="43" t="str">
        <f aca="false">IF($E60="","",$E60-$G60)</f>
        <v/>
      </c>
      <c r="J60" s="31"/>
      <c r="K60" s="32"/>
      <c r="L60" s="30"/>
      <c r="M60" s="32"/>
      <c r="N60" s="20" t="str">
        <f aca="true">IF($B60="","",_xlfn.IFS(OR($E60="",$E60=0),"Not Invoiced",($G60+$K60)&gt;=$E60,"Paid",AND($J60&lt;&gt;"",TODAY()&gt;$J60,($G60+$K60)&lt;$E60),"Overdue",$G60=0,"Awaiting Deposit",TRUE(),"Part Paid"))</f>
        <v/>
      </c>
      <c r="O60" s="20" t="str">
        <f aca="true">IF($B60="","",IF($N60="Overdue",TODAY()-$J60,0))</f>
        <v/>
      </c>
      <c r="P60" s="34"/>
    </row>
    <row r="61" customFormat="false" ht="21.75" hidden="false" customHeight="true" outlineLevel="0" collapsed="false">
      <c r="A61" s="20" t="str">
        <f aca="false">IF($B61="","",IFERROR(INDEX('Fragrance Projects'!$C$5:$C$64,MATCH($B61,'Fragrance Projects'!$A$5:$A$64,0)),""))</f>
        <v/>
      </c>
      <c r="B61" s="30"/>
      <c r="C61" s="30"/>
      <c r="D61" s="31"/>
      <c r="E61" s="43" t="str">
        <f aca="false">IF($B61="","",IFERROR(INDEX('Project Financials'!$D$5:$D$64,MATCH($B61,'Project Financials'!$A$5:$A$64,0)),""))</f>
        <v/>
      </c>
      <c r="F61" s="32"/>
      <c r="G61" s="32"/>
      <c r="H61" s="31"/>
      <c r="I61" s="43" t="str">
        <f aca="false">IF($E61="","",$E61-$G61)</f>
        <v/>
      </c>
      <c r="J61" s="31"/>
      <c r="K61" s="32"/>
      <c r="L61" s="30"/>
      <c r="M61" s="32"/>
      <c r="N61" s="20" t="str">
        <f aca="true">IF($B61="","",_xlfn.IFS(OR($E61="",$E61=0),"Not Invoiced",($G61+$K61)&gt;=$E61,"Paid",AND($J61&lt;&gt;"",TODAY()&gt;$J61,($G61+$K61)&lt;$E61),"Overdue",$G61=0,"Awaiting Deposit",TRUE(),"Part Paid"))</f>
        <v/>
      </c>
      <c r="O61" s="20" t="str">
        <f aca="true">IF($B61="","",IF($N61="Overdue",TODAY()-$J61,0))</f>
        <v/>
      </c>
      <c r="P61" s="34"/>
    </row>
    <row r="62" customFormat="false" ht="21.75" hidden="false" customHeight="true" outlineLevel="0" collapsed="false">
      <c r="A62" s="20" t="str">
        <f aca="false">IF($B62="","",IFERROR(INDEX('Fragrance Projects'!$C$5:$C$64,MATCH($B62,'Fragrance Projects'!$A$5:$A$64,0)),""))</f>
        <v/>
      </c>
      <c r="B62" s="30"/>
      <c r="C62" s="30"/>
      <c r="D62" s="31"/>
      <c r="E62" s="43" t="str">
        <f aca="false">IF($B62="","",IFERROR(INDEX('Project Financials'!$D$5:$D$64,MATCH($B62,'Project Financials'!$A$5:$A$64,0)),""))</f>
        <v/>
      </c>
      <c r="F62" s="32"/>
      <c r="G62" s="32"/>
      <c r="H62" s="31"/>
      <c r="I62" s="43" t="str">
        <f aca="false">IF($E62="","",$E62-$G62)</f>
        <v/>
      </c>
      <c r="J62" s="31"/>
      <c r="K62" s="32"/>
      <c r="L62" s="30"/>
      <c r="M62" s="32"/>
      <c r="N62" s="20" t="str">
        <f aca="true">IF($B62="","",_xlfn.IFS(OR($E62="",$E62=0),"Not Invoiced",($G62+$K62)&gt;=$E62,"Paid",AND($J62&lt;&gt;"",TODAY()&gt;$J62,($G62+$K62)&lt;$E62),"Overdue",$G62=0,"Awaiting Deposit",TRUE(),"Part Paid"))</f>
        <v/>
      </c>
      <c r="O62" s="20" t="str">
        <f aca="true">IF($B62="","",IF($N62="Overdue",TODAY()-$J62,0))</f>
        <v/>
      </c>
      <c r="P62" s="34"/>
    </row>
    <row r="63" customFormat="false" ht="21.75" hidden="false" customHeight="true" outlineLevel="0" collapsed="false">
      <c r="A63" s="20" t="str">
        <f aca="false">IF($B63="","",IFERROR(INDEX('Fragrance Projects'!$C$5:$C$64,MATCH($B63,'Fragrance Projects'!$A$5:$A$64,0)),""))</f>
        <v/>
      </c>
      <c r="B63" s="30"/>
      <c r="C63" s="30"/>
      <c r="D63" s="31"/>
      <c r="E63" s="43" t="str">
        <f aca="false">IF($B63="","",IFERROR(INDEX('Project Financials'!$D$5:$D$64,MATCH($B63,'Project Financials'!$A$5:$A$64,0)),""))</f>
        <v/>
      </c>
      <c r="F63" s="32"/>
      <c r="G63" s="32"/>
      <c r="H63" s="31"/>
      <c r="I63" s="43" t="str">
        <f aca="false">IF($E63="","",$E63-$G63)</f>
        <v/>
      </c>
      <c r="J63" s="31"/>
      <c r="K63" s="32"/>
      <c r="L63" s="30"/>
      <c r="M63" s="32"/>
      <c r="N63" s="20" t="str">
        <f aca="true">IF($B63="","",_xlfn.IFS(OR($E63="",$E63=0),"Not Invoiced",($G63+$K63)&gt;=$E63,"Paid",AND($J63&lt;&gt;"",TODAY()&gt;$J63,($G63+$K63)&lt;$E63),"Overdue",$G63=0,"Awaiting Deposit",TRUE(),"Part Paid"))</f>
        <v/>
      </c>
      <c r="O63" s="20" t="str">
        <f aca="true">IF($B63="","",IF($N63="Overdue",TODAY()-$J63,0))</f>
        <v/>
      </c>
      <c r="P63" s="34"/>
    </row>
    <row r="64" customFormat="false" ht="21.75" hidden="false" customHeight="true" outlineLevel="0" collapsed="false">
      <c r="A64" s="20" t="str">
        <f aca="false">IF($B64="","",IFERROR(INDEX('Fragrance Projects'!$C$5:$C$64,MATCH($B64,'Fragrance Projects'!$A$5:$A$64,0)),""))</f>
        <v/>
      </c>
      <c r="B64" s="30"/>
      <c r="C64" s="30"/>
      <c r="D64" s="31"/>
      <c r="E64" s="43" t="str">
        <f aca="false">IF($B64="","",IFERROR(INDEX('Project Financials'!$D$5:$D$64,MATCH($B64,'Project Financials'!$A$5:$A$64,0)),""))</f>
        <v/>
      </c>
      <c r="F64" s="32"/>
      <c r="G64" s="32"/>
      <c r="H64" s="31"/>
      <c r="I64" s="43" t="str">
        <f aca="false">IF($E64="","",$E64-$G64)</f>
        <v/>
      </c>
      <c r="J64" s="31"/>
      <c r="K64" s="32"/>
      <c r="L64" s="30"/>
      <c r="M64" s="32"/>
      <c r="N64" s="20" t="str">
        <f aca="true">IF($B64="","",_xlfn.IFS(OR($E64="",$E64=0),"Not Invoiced",($G64+$K64)&gt;=$E64,"Paid",AND($J64&lt;&gt;"",TODAY()&gt;$J64,($G64+$K64)&lt;$E64),"Overdue",$G64=0,"Awaiting Deposit",TRUE(),"Part Paid"))</f>
        <v/>
      </c>
      <c r="O64" s="20" t="str">
        <f aca="true">IF($B64="","",IF($N64="Overdue",TODAY()-$J64,0))</f>
        <v/>
      </c>
      <c r="P64" s="34"/>
    </row>
  </sheetData>
  <sheetProtection sheet="true" formatCells="false" formatColumns="false" formatRows="false" insertRows="false" sort="false" autoFilter="false"/>
  <mergeCells count="5">
    <mergeCell ref="A1:P1"/>
    <mergeCell ref="A2:P2"/>
    <mergeCell ref="B3:C3"/>
    <mergeCell ref="F3:G3"/>
    <mergeCell ref="J3:K3"/>
  </mergeCells>
  <conditionalFormatting sqref="N5:N64">
    <cfRule type="expression" priority="2" aboveAverage="0" equalAverage="0" bottom="0" percent="0" rank="0" text="" dxfId="18">
      <formula>N5="Paid"</formula>
    </cfRule>
    <cfRule type="expression" priority="3" aboveAverage="0" equalAverage="0" bottom="0" percent="0" rank="0" text="" dxfId="2">
      <formula>N5="Overdue"</formula>
    </cfRule>
    <cfRule type="expression" priority="4" aboveAverage="0" equalAverage="0" bottom="0" percent="0" rank="0" text="" dxfId="3">
      <formula>N5="Awaiting Deposit"</formula>
    </cfRule>
    <cfRule type="expression" priority="5" aboveAverage="0" equalAverage="0" bottom="0" percent="0" rank="0" text="" dxfId="19">
      <formula>N5="Part Paid"</formula>
    </cfRule>
  </conditionalFormatting>
  <conditionalFormatting sqref="O5:O64">
    <cfRule type="expression" priority="6" aboveAverage="0" equalAverage="0" bottom="0" percent="0" rank="0" text="" dxfId="2">
      <formula>AND(O5&lt;&gt;"",O5&gt;0)</formula>
    </cfRule>
  </conditionalFormatting>
  <dataValidations count="2">
    <dataValidation allowBlank="true" error="Please choose a value from the dropdown list." errorStyle="stop" errorTitle="Invalid entry" operator="between" showDropDown="false" showErrorMessage="true" showInputMessage="false" sqref="B5:B64" type="list">
      <formula1>'Fragrance Projects'!$A$5:$A$64</formula1>
      <formula2>0</formula2>
    </dataValidation>
    <dataValidation allowBlank="true" error="Please choose a value from the dropdown list." errorStyle="stop" errorTitle="Invalid entry" operator="between" showDropDown="false" showErrorMessage="true" showInputMessage="false" sqref="L5:L64" type="list">
      <formula1>Lists!$V$2:$V$7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5"/>
    <col collapsed="false" customWidth="true" hidden="false" outlineLevel="0" max="3" min="3" style="3" width="24"/>
    <col collapsed="false" customWidth="true" hidden="false" outlineLevel="0" max="4" min="4" style="3" width="9"/>
    <col collapsed="false" customWidth="true" hidden="false" outlineLevel="0" max="5" min="5" style="3" width="16"/>
    <col collapsed="false" customWidth="true" hidden="false" outlineLevel="0" max="6" min="6" style="3" width="12"/>
    <col collapsed="false" customWidth="true" hidden="false" outlineLevel="0" max="7" min="7" style="3" width="10"/>
    <col collapsed="false" customWidth="true" hidden="false" outlineLevel="0" max="8" min="8" style="3" width="30"/>
    <col collapsed="false" customWidth="true" hidden="false" outlineLevel="0" max="12" min="9" style="3" width="11"/>
    <col collapsed="false" customWidth="true" hidden="false" outlineLevel="0" max="13" min="13" style="3" width="13"/>
  </cols>
  <sheetData>
    <row r="1" customFormat="false" ht="33.75" hidden="false" customHeight="true" outlineLevel="0" collapsed="false">
      <c r="A1" s="4" t="s">
        <v>344</v>
      </c>
      <c r="B1" s="4"/>
      <c r="C1" s="4"/>
      <c r="D1" s="4"/>
      <c r="E1" s="4"/>
      <c r="F1" s="4"/>
      <c r="G1" s="4"/>
      <c r="H1" s="4"/>
      <c r="I1" s="4"/>
      <c r="J1" s="4"/>
      <c r="K1" s="4"/>
      <c r="L1" s="4"/>
      <c r="M1" s="4"/>
    </row>
    <row r="2" customFormat="false" ht="19.5" hidden="false" customHeight="true" outlineLevel="0" collapsed="false">
      <c r="A2" s="25" t="s">
        <v>345</v>
      </c>
      <c r="B2" s="25"/>
      <c r="C2" s="25"/>
      <c r="D2" s="25"/>
      <c r="E2" s="25"/>
      <c r="F2" s="25"/>
      <c r="G2" s="25"/>
      <c r="H2" s="25"/>
      <c r="I2" s="25"/>
      <c r="J2" s="25"/>
      <c r="K2" s="25"/>
      <c r="L2" s="25"/>
      <c r="M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50</v>
      </c>
      <c r="C4" s="17" t="s">
        <v>346</v>
      </c>
      <c r="D4" s="17" t="s">
        <v>209</v>
      </c>
      <c r="E4" s="17" t="s">
        <v>158</v>
      </c>
      <c r="F4" s="17" t="s">
        <v>164</v>
      </c>
      <c r="G4" s="17" t="s">
        <v>159</v>
      </c>
      <c r="H4" s="17" t="s">
        <v>160</v>
      </c>
      <c r="I4" s="17" t="s">
        <v>347</v>
      </c>
      <c r="J4" s="17" t="s">
        <v>348</v>
      </c>
      <c r="K4" s="17" t="s">
        <v>349</v>
      </c>
      <c r="L4" s="17" t="s">
        <v>350</v>
      </c>
      <c r="M4" s="17" t="s">
        <v>162</v>
      </c>
    </row>
    <row r="5" customFormat="false" ht="24" hidden="false" customHeight="true" outlineLevel="0" collapsed="false">
      <c r="A5" s="37" t="str">
        <f aca="false">IF('Fragrance Projects'!A5="","",'Fragrance Projects'!A5)</f>
        <v/>
      </c>
      <c r="B5" s="37" t="str">
        <f aca="false">IF('Fragrance Projects'!A5="","",'Fragrance Projects'!C5)</f>
        <v/>
      </c>
      <c r="C5" s="37" t="str">
        <f aca="false">IF('Fragrance Projects'!A5="","",'Fragrance Projects'!D5)</f>
        <v/>
      </c>
      <c r="D5" s="20" t="str">
        <f aca="false">IF('Fragrance Projects'!A5="","",'Fragrance Projects'!I5)</f>
        <v/>
      </c>
      <c r="E5" s="20" t="str">
        <f aca="false">IF('Fragrance Projects'!A5="","",'Fragrance Projects'!H5)</f>
        <v/>
      </c>
      <c r="F5" s="44" t="str">
        <f aca="false">IF('Fragrance Projects'!A5="","",'Fragrance Projects'!F5)</f>
        <v/>
      </c>
      <c r="G5" s="20" t="str">
        <f aca="false">IF('Fragrance Projects'!A5="","",'Fragrance Projects'!G5)</f>
        <v/>
      </c>
      <c r="H5" s="19" t="str">
        <f aca="false">IF('Fragrance Projects'!A5="","",'Fragrance Projects'!P5)</f>
        <v/>
      </c>
      <c r="I5" s="30"/>
      <c r="J5" s="20" t="str">
        <f aca="false">IF('Fragrance Projects'!A5="","",'Fragrance Projects'!M5)</f>
        <v/>
      </c>
      <c r="K5" s="20" t="str">
        <f aca="false">IF('Fragrance Projects'!A5="","",'Fragrance Projects'!O5)</f>
        <v/>
      </c>
      <c r="L5" s="20" t="str">
        <f aca="false">IF($A5="","",IF($E5="Complete",0,_xlfn.IFS($G5&lt;0,40,$G5&lt;=3,35,$G5&lt;=7,25,$G5&lt;=14,15,$G5&lt;=30,8,TRUE(),0)+_xlfn.IFS($D5="Urgent",25,$D5="High",18,$D5="Normal",10,$D5="Low",5,TRUE(),0)+IF($K5="Us",20,0)+IF($J5&lt;=0,15,IF($J5=1,8,0))))</f>
        <v/>
      </c>
      <c r="M5" s="20" t="str">
        <f aca="false">IF('Fragrance Projects'!A5="","",'Fragrance Projects'!AK5)</f>
        <v/>
      </c>
    </row>
    <row r="6" customFormat="false" ht="24" hidden="false" customHeight="true" outlineLevel="0" collapsed="false">
      <c r="A6" s="37" t="str">
        <f aca="false">IF('Fragrance Projects'!A6="","",'Fragrance Projects'!A6)</f>
        <v/>
      </c>
      <c r="B6" s="37" t="str">
        <f aca="false">IF('Fragrance Projects'!A6="","",'Fragrance Projects'!C6)</f>
        <v/>
      </c>
      <c r="C6" s="37" t="str">
        <f aca="false">IF('Fragrance Projects'!A6="","",'Fragrance Projects'!D6)</f>
        <v/>
      </c>
      <c r="D6" s="20" t="str">
        <f aca="false">IF('Fragrance Projects'!A6="","",'Fragrance Projects'!I6)</f>
        <v/>
      </c>
      <c r="E6" s="20" t="str">
        <f aca="false">IF('Fragrance Projects'!A6="","",'Fragrance Projects'!H6)</f>
        <v/>
      </c>
      <c r="F6" s="44" t="str">
        <f aca="false">IF('Fragrance Projects'!A6="","",'Fragrance Projects'!F6)</f>
        <v/>
      </c>
      <c r="G6" s="20" t="str">
        <f aca="false">IF('Fragrance Projects'!A6="","",'Fragrance Projects'!G6)</f>
        <v/>
      </c>
      <c r="H6" s="19" t="str">
        <f aca="false">IF('Fragrance Projects'!A6="","",'Fragrance Projects'!P6)</f>
        <v/>
      </c>
      <c r="I6" s="30"/>
      <c r="J6" s="20" t="str">
        <f aca="false">IF('Fragrance Projects'!A6="","",'Fragrance Projects'!M6)</f>
        <v/>
      </c>
      <c r="K6" s="20" t="str">
        <f aca="false">IF('Fragrance Projects'!A6="","",'Fragrance Projects'!O6)</f>
        <v/>
      </c>
      <c r="L6" s="20" t="str">
        <f aca="false">IF($A6="","",IF($E6="Complete",0,_xlfn.IFS($G6&lt;0,40,$G6&lt;=3,35,$G6&lt;=7,25,$G6&lt;=14,15,$G6&lt;=30,8,TRUE(),0)+_xlfn.IFS($D6="Urgent",25,$D6="High",18,$D6="Normal",10,$D6="Low",5,TRUE(),0)+IF($K6="Us",20,0)+IF($J6&lt;=0,15,IF($J6=1,8,0))))</f>
        <v/>
      </c>
      <c r="M6" s="20" t="str">
        <f aca="false">IF('Fragrance Projects'!A6="","",'Fragrance Projects'!AK6)</f>
        <v/>
      </c>
    </row>
    <row r="7" customFormat="false" ht="24" hidden="false" customHeight="true" outlineLevel="0" collapsed="false">
      <c r="A7" s="37" t="str">
        <f aca="false">IF('Fragrance Projects'!A7="","",'Fragrance Projects'!A7)</f>
        <v/>
      </c>
      <c r="B7" s="37" t="str">
        <f aca="false">IF('Fragrance Projects'!A7="","",'Fragrance Projects'!C7)</f>
        <v/>
      </c>
      <c r="C7" s="37" t="str">
        <f aca="false">IF('Fragrance Projects'!A7="","",'Fragrance Projects'!D7)</f>
        <v/>
      </c>
      <c r="D7" s="20" t="str">
        <f aca="false">IF('Fragrance Projects'!A7="","",'Fragrance Projects'!I7)</f>
        <v/>
      </c>
      <c r="E7" s="20" t="str">
        <f aca="false">IF('Fragrance Projects'!A7="","",'Fragrance Projects'!H7)</f>
        <v/>
      </c>
      <c r="F7" s="44" t="str">
        <f aca="false">IF('Fragrance Projects'!A7="","",'Fragrance Projects'!F7)</f>
        <v/>
      </c>
      <c r="G7" s="20" t="str">
        <f aca="false">IF('Fragrance Projects'!A7="","",'Fragrance Projects'!G7)</f>
        <v/>
      </c>
      <c r="H7" s="19" t="str">
        <f aca="false">IF('Fragrance Projects'!A7="","",'Fragrance Projects'!P7)</f>
        <v/>
      </c>
      <c r="I7" s="30"/>
      <c r="J7" s="20" t="str">
        <f aca="false">IF('Fragrance Projects'!A7="","",'Fragrance Projects'!M7)</f>
        <v/>
      </c>
      <c r="K7" s="20" t="str">
        <f aca="false">IF('Fragrance Projects'!A7="","",'Fragrance Projects'!O7)</f>
        <v/>
      </c>
      <c r="L7" s="20" t="str">
        <f aca="false">IF($A7="","",IF($E7="Complete",0,_xlfn.IFS($G7&lt;0,40,$G7&lt;=3,35,$G7&lt;=7,25,$G7&lt;=14,15,$G7&lt;=30,8,TRUE(),0)+_xlfn.IFS($D7="Urgent",25,$D7="High",18,$D7="Normal",10,$D7="Low",5,TRUE(),0)+IF($K7="Us",20,0)+IF($J7&lt;=0,15,IF($J7=1,8,0))))</f>
        <v/>
      </c>
      <c r="M7" s="20" t="str">
        <f aca="false">IF('Fragrance Projects'!A7="","",'Fragrance Projects'!AK7)</f>
        <v/>
      </c>
    </row>
    <row r="8" customFormat="false" ht="24" hidden="false" customHeight="true" outlineLevel="0" collapsed="false">
      <c r="A8" s="37" t="str">
        <f aca="false">IF('Fragrance Projects'!A8="","",'Fragrance Projects'!A8)</f>
        <v/>
      </c>
      <c r="B8" s="37" t="str">
        <f aca="false">IF('Fragrance Projects'!A8="","",'Fragrance Projects'!C8)</f>
        <v/>
      </c>
      <c r="C8" s="37" t="str">
        <f aca="false">IF('Fragrance Projects'!A8="","",'Fragrance Projects'!D8)</f>
        <v/>
      </c>
      <c r="D8" s="20" t="str">
        <f aca="false">IF('Fragrance Projects'!A8="","",'Fragrance Projects'!I8)</f>
        <v/>
      </c>
      <c r="E8" s="20" t="str">
        <f aca="false">IF('Fragrance Projects'!A8="","",'Fragrance Projects'!H8)</f>
        <v/>
      </c>
      <c r="F8" s="44" t="str">
        <f aca="false">IF('Fragrance Projects'!A8="","",'Fragrance Projects'!F8)</f>
        <v/>
      </c>
      <c r="G8" s="20" t="str">
        <f aca="false">IF('Fragrance Projects'!A8="","",'Fragrance Projects'!G8)</f>
        <v/>
      </c>
      <c r="H8" s="19" t="str">
        <f aca="false">IF('Fragrance Projects'!A8="","",'Fragrance Projects'!P8)</f>
        <v/>
      </c>
      <c r="I8" s="30"/>
      <c r="J8" s="20" t="str">
        <f aca="false">IF('Fragrance Projects'!A8="","",'Fragrance Projects'!M8)</f>
        <v/>
      </c>
      <c r="K8" s="20" t="str">
        <f aca="false">IF('Fragrance Projects'!A8="","",'Fragrance Projects'!O8)</f>
        <v/>
      </c>
      <c r="L8" s="20" t="str">
        <f aca="false">IF($A8="","",IF($E8="Complete",0,_xlfn.IFS($G8&lt;0,40,$G8&lt;=3,35,$G8&lt;=7,25,$G8&lt;=14,15,$G8&lt;=30,8,TRUE(),0)+_xlfn.IFS($D8="Urgent",25,$D8="High",18,$D8="Normal",10,$D8="Low",5,TRUE(),0)+IF($K8="Us",20,0)+IF($J8&lt;=0,15,IF($J8=1,8,0))))</f>
        <v/>
      </c>
      <c r="M8" s="20" t="str">
        <f aca="false">IF('Fragrance Projects'!A8="","",'Fragrance Projects'!AK8)</f>
        <v/>
      </c>
    </row>
    <row r="9" customFormat="false" ht="24" hidden="false" customHeight="true" outlineLevel="0" collapsed="false">
      <c r="A9" s="37" t="str">
        <f aca="false">IF('Fragrance Projects'!A9="","",'Fragrance Projects'!A9)</f>
        <v/>
      </c>
      <c r="B9" s="37" t="str">
        <f aca="false">IF('Fragrance Projects'!A9="","",'Fragrance Projects'!C9)</f>
        <v/>
      </c>
      <c r="C9" s="37" t="str">
        <f aca="false">IF('Fragrance Projects'!A9="","",'Fragrance Projects'!D9)</f>
        <v/>
      </c>
      <c r="D9" s="20" t="str">
        <f aca="false">IF('Fragrance Projects'!A9="","",'Fragrance Projects'!I9)</f>
        <v/>
      </c>
      <c r="E9" s="20" t="str">
        <f aca="false">IF('Fragrance Projects'!A9="","",'Fragrance Projects'!H9)</f>
        <v/>
      </c>
      <c r="F9" s="44" t="str">
        <f aca="false">IF('Fragrance Projects'!A9="","",'Fragrance Projects'!F9)</f>
        <v/>
      </c>
      <c r="G9" s="20" t="str">
        <f aca="false">IF('Fragrance Projects'!A9="","",'Fragrance Projects'!G9)</f>
        <v/>
      </c>
      <c r="H9" s="19" t="str">
        <f aca="false">IF('Fragrance Projects'!A9="","",'Fragrance Projects'!P9)</f>
        <v/>
      </c>
      <c r="I9" s="30"/>
      <c r="J9" s="20" t="str">
        <f aca="false">IF('Fragrance Projects'!A9="","",'Fragrance Projects'!M9)</f>
        <v/>
      </c>
      <c r="K9" s="20" t="str">
        <f aca="false">IF('Fragrance Projects'!A9="","",'Fragrance Projects'!O9)</f>
        <v/>
      </c>
      <c r="L9" s="20" t="str">
        <f aca="false">IF($A9="","",IF($E9="Complete",0,_xlfn.IFS($G9&lt;0,40,$G9&lt;=3,35,$G9&lt;=7,25,$G9&lt;=14,15,$G9&lt;=30,8,TRUE(),0)+_xlfn.IFS($D9="Urgent",25,$D9="High",18,$D9="Normal",10,$D9="Low",5,TRUE(),0)+IF($K9="Us",20,0)+IF($J9&lt;=0,15,IF($J9=1,8,0))))</f>
        <v/>
      </c>
      <c r="M9" s="20" t="str">
        <f aca="false">IF('Fragrance Projects'!A9="","",'Fragrance Projects'!AK9)</f>
        <v/>
      </c>
    </row>
    <row r="10" customFormat="false" ht="24" hidden="false" customHeight="true" outlineLevel="0" collapsed="false">
      <c r="A10" s="37" t="str">
        <f aca="false">IF('Fragrance Projects'!A10="","",'Fragrance Projects'!A10)</f>
        <v/>
      </c>
      <c r="B10" s="37" t="str">
        <f aca="false">IF('Fragrance Projects'!A10="","",'Fragrance Projects'!C10)</f>
        <v/>
      </c>
      <c r="C10" s="37" t="str">
        <f aca="false">IF('Fragrance Projects'!A10="","",'Fragrance Projects'!D10)</f>
        <v/>
      </c>
      <c r="D10" s="20" t="str">
        <f aca="false">IF('Fragrance Projects'!A10="","",'Fragrance Projects'!I10)</f>
        <v/>
      </c>
      <c r="E10" s="20" t="str">
        <f aca="false">IF('Fragrance Projects'!A10="","",'Fragrance Projects'!H10)</f>
        <v/>
      </c>
      <c r="F10" s="44" t="str">
        <f aca="false">IF('Fragrance Projects'!A10="","",'Fragrance Projects'!F10)</f>
        <v/>
      </c>
      <c r="G10" s="20" t="str">
        <f aca="false">IF('Fragrance Projects'!A10="","",'Fragrance Projects'!G10)</f>
        <v/>
      </c>
      <c r="H10" s="19" t="str">
        <f aca="false">IF('Fragrance Projects'!A10="","",'Fragrance Projects'!P10)</f>
        <v/>
      </c>
      <c r="I10" s="30"/>
      <c r="J10" s="20" t="str">
        <f aca="false">IF('Fragrance Projects'!A10="","",'Fragrance Projects'!M10)</f>
        <v/>
      </c>
      <c r="K10" s="20" t="str">
        <f aca="false">IF('Fragrance Projects'!A10="","",'Fragrance Projects'!O10)</f>
        <v/>
      </c>
      <c r="L10" s="20" t="str">
        <f aca="false">IF($A10="","",IF($E10="Complete",0,_xlfn.IFS($G10&lt;0,40,$G10&lt;=3,35,$G10&lt;=7,25,$G10&lt;=14,15,$G10&lt;=30,8,TRUE(),0)+_xlfn.IFS($D10="Urgent",25,$D10="High",18,$D10="Normal",10,$D10="Low",5,TRUE(),0)+IF($K10="Us",20,0)+IF($J10&lt;=0,15,IF($J10=1,8,0))))</f>
        <v/>
      </c>
      <c r="M10" s="20" t="str">
        <f aca="false">IF('Fragrance Projects'!A10="","",'Fragrance Projects'!AK10)</f>
        <v/>
      </c>
    </row>
    <row r="11" customFormat="false" ht="24" hidden="false" customHeight="true" outlineLevel="0" collapsed="false">
      <c r="A11" s="37" t="str">
        <f aca="false">IF('Fragrance Projects'!A11="","",'Fragrance Projects'!A11)</f>
        <v/>
      </c>
      <c r="B11" s="37" t="str">
        <f aca="false">IF('Fragrance Projects'!A11="","",'Fragrance Projects'!C11)</f>
        <v/>
      </c>
      <c r="C11" s="37" t="str">
        <f aca="false">IF('Fragrance Projects'!A11="","",'Fragrance Projects'!D11)</f>
        <v/>
      </c>
      <c r="D11" s="20" t="str">
        <f aca="false">IF('Fragrance Projects'!A11="","",'Fragrance Projects'!I11)</f>
        <v/>
      </c>
      <c r="E11" s="20" t="str">
        <f aca="false">IF('Fragrance Projects'!A11="","",'Fragrance Projects'!H11)</f>
        <v/>
      </c>
      <c r="F11" s="44" t="str">
        <f aca="false">IF('Fragrance Projects'!A11="","",'Fragrance Projects'!F11)</f>
        <v/>
      </c>
      <c r="G11" s="20" t="str">
        <f aca="false">IF('Fragrance Projects'!A11="","",'Fragrance Projects'!G11)</f>
        <v/>
      </c>
      <c r="H11" s="19" t="str">
        <f aca="false">IF('Fragrance Projects'!A11="","",'Fragrance Projects'!P11)</f>
        <v/>
      </c>
      <c r="I11" s="30"/>
      <c r="J11" s="20" t="str">
        <f aca="false">IF('Fragrance Projects'!A11="","",'Fragrance Projects'!M11)</f>
        <v/>
      </c>
      <c r="K11" s="20" t="str">
        <f aca="false">IF('Fragrance Projects'!A11="","",'Fragrance Projects'!O11)</f>
        <v/>
      </c>
      <c r="L11" s="20" t="str">
        <f aca="false">IF($A11="","",IF($E11="Complete",0,_xlfn.IFS($G11&lt;0,40,$G11&lt;=3,35,$G11&lt;=7,25,$G11&lt;=14,15,$G11&lt;=30,8,TRUE(),0)+_xlfn.IFS($D11="Urgent",25,$D11="High",18,$D11="Normal",10,$D11="Low",5,TRUE(),0)+IF($K11="Us",20,0)+IF($J11&lt;=0,15,IF($J11=1,8,0))))</f>
        <v/>
      </c>
      <c r="M11" s="20" t="str">
        <f aca="false">IF('Fragrance Projects'!A11="","",'Fragrance Projects'!AK11)</f>
        <v/>
      </c>
    </row>
    <row r="12" customFormat="false" ht="24" hidden="false" customHeight="true" outlineLevel="0" collapsed="false">
      <c r="A12" s="37" t="str">
        <f aca="false">IF('Fragrance Projects'!A12="","",'Fragrance Projects'!A12)</f>
        <v/>
      </c>
      <c r="B12" s="37" t="str">
        <f aca="false">IF('Fragrance Projects'!A12="","",'Fragrance Projects'!C12)</f>
        <v/>
      </c>
      <c r="C12" s="37" t="str">
        <f aca="false">IF('Fragrance Projects'!A12="","",'Fragrance Projects'!D12)</f>
        <v/>
      </c>
      <c r="D12" s="20" t="str">
        <f aca="false">IF('Fragrance Projects'!A12="","",'Fragrance Projects'!I12)</f>
        <v/>
      </c>
      <c r="E12" s="20" t="str">
        <f aca="false">IF('Fragrance Projects'!A12="","",'Fragrance Projects'!H12)</f>
        <v/>
      </c>
      <c r="F12" s="44" t="str">
        <f aca="false">IF('Fragrance Projects'!A12="","",'Fragrance Projects'!F12)</f>
        <v/>
      </c>
      <c r="G12" s="20" t="str">
        <f aca="false">IF('Fragrance Projects'!A12="","",'Fragrance Projects'!G12)</f>
        <v/>
      </c>
      <c r="H12" s="19" t="str">
        <f aca="false">IF('Fragrance Projects'!A12="","",'Fragrance Projects'!P12)</f>
        <v/>
      </c>
      <c r="I12" s="30"/>
      <c r="J12" s="20" t="str">
        <f aca="false">IF('Fragrance Projects'!A12="","",'Fragrance Projects'!M12)</f>
        <v/>
      </c>
      <c r="K12" s="20" t="str">
        <f aca="false">IF('Fragrance Projects'!A12="","",'Fragrance Projects'!O12)</f>
        <v/>
      </c>
      <c r="L12" s="20" t="str">
        <f aca="false">IF($A12="","",IF($E12="Complete",0,_xlfn.IFS($G12&lt;0,40,$G12&lt;=3,35,$G12&lt;=7,25,$G12&lt;=14,15,$G12&lt;=30,8,TRUE(),0)+_xlfn.IFS($D12="Urgent",25,$D12="High",18,$D12="Normal",10,$D12="Low",5,TRUE(),0)+IF($K12="Us",20,0)+IF($J12&lt;=0,15,IF($J12=1,8,0))))</f>
        <v/>
      </c>
      <c r="M12" s="20" t="str">
        <f aca="false">IF('Fragrance Projects'!A12="","",'Fragrance Projects'!AK12)</f>
        <v/>
      </c>
    </row>
    <row r="13" customFormat="false" ht="24" hidden="false" customHeight="true" outlineLevel="0" collapsed="false">
      <c r="A13" s="37" t="str">
        <f aca="false">IF('Fragrance Projects'!A13="","",'Fragrance Projects'!A13)</f>
        <v/>
      </c>
      <c r="B13" s="37" t="str">
        <f aca="false">IF('Fragrance Projects'!A13="","",'Fragrance Projects'!C13)</f>
        <v/>
      </c>
      <c r="C13" s="37" t="str">
        <f aca="false">IF('Fragrance Projects'!A13="","",'Fragrance Projects'!D13)</f>
        <v/>
      </c>
      <c r="D13" s="20" t="str">
        <f aca="false">IF('Fragrance Projects'!A13="","",'Fragrance Projects'!I13)</f>
        <v/>
      </c>
      <c r="E13" s="20" t="str">
        <f aca="false">IF('Fragrance Projects'!A13="","",'Fragrance Projects'!H13)</f>
        <v/>
      </c>
      <c r="F13" s="44" t="str">
        <f aca="false">IF('Fragrance Projects'!A13="","",'Fragrance Projects'!F13)</f>
        <v/>
      </c>
      <c r="G13" s="20" t="str">
        <f aca="false">IF('Fragrance Projects'!A13="","",'Fragrance Projects'!G13)</f>
        <v/>
      </c>
      <c r="H13" s="19" t="str">
        <f aca="false">IF('Fragrance Projects'!A13="","",'Fragrance Projects'!P13)</f>
        <v/>
      </c>
      <c r="I13" s="30"/>
      <c r="J13" s="20" t="str">
        <f aca="false">IF('Fragrance Projects'!A13="","",'Fragrance Projects'!M13)</f>
        <v/>
      </c>
      <c r="K13" s="20" t="str">
        <f aca="false">IF('Fragrance Projects'!A13="","",'Fragrance Projects'!O13)</f>
        <v/>
      </c>
      <c r="L13" s="20" t="str">
        <f aca="false">IF($A13="","",IF($E13="Complete",0,_xlfn.IFS($G13&lt;0,40,$G13&lt;=3,35,$G13&lt;=7,25,$G13&lt;=14,15,$G13&lt;=30,8,TRUE(),0)+_xlfn.IFS($D13="Urgent",25,$D13="High",18,$D13="Normal",10,$D13="Low",5,TRUE(),0)+IF($K13="Us",20,0)+IF($J13&lt;=0,15,IF($J13=1,8,0))))</f>
        <v/>
      </c>
      <c r="M13" s="20" t="str">
        <f aca="false">IF('Fragrance Projects'!A13="","",'Fragrance Projects'!AK13)</f>
        <v/>
      </c>
    </row>
    <row r="14" customFormat="false" ht="24" hidden="false" customHeight="true" outlineLevel="0" collapsed="false">
      <c r="A14" s="37" t="str">
        <f aca="false">IF('Fragrance Projects'!A14="","",'Fragrance Projects'!A14)</f>
        <v/>
      </c>
      <c r="B14" s="37" t="str">
        <f aca="false">IF('Fragrance Projects'!A14="","",'Fragrance Projects'!C14)</f>
        <v/>
      </c>
      <c r="C14" s="37" t="str">
        <f aca="false">IF('Fragrance Projects'!A14="","",'Fragrance Projects'!D14)</f>
        <v/>
      </c>
      <c r="D14" s="20" t="str">
        <f aca="false">IF('Fragrance Projects'!A14="","",'Fragrance Projects'!I14)</f>
        <v/>
      </c>
      <c r="E14" s="20" t="str">
        <f aca="false">IF('Fragrance Projects'!A14="","",'Fragrance Projects'!H14)</f>
        <v/>
      </c>
      <c r="F14" s="44" t="str">
        <f aca="false">IF('Fragrance Projects'!A14="","",'Fragrance Projects'!F14)</f>
        <v/>
      </c>
      <c r="G14" s="20" t="str">
        <f aca="false">IF('Fragrance Projects'!A14="","",'Fragrance Projects'!G14)</f>
        <v/>
      </c>
      <c r="H14" s="19" t="str">
        <f aca="false">IF('Fragrance Projects'!A14="","",'Fragrance Projects'!P14)</f>
        <v/>
      </c>
      <c r="I14" s="30"/>
      <c r="J14" s="20" t="str">
        <f aca="false">IF('Fragrance Projects'!A14="","",'Fragrance Projects'!M14)</f>
        <v/>
      </c>
      <c r="K14" s="20" t="str">
        <f aca="false">IF('Fragrance Projects'!A14="","",'Fragrance Projects'!O14)</f>
        <v/>
      </c>
      <c r="L14" s="20" t="str">
        <f aca="false">IF($A14="","",IF($E14="Complete",0,_xlfn.IFS($G14&lt;0,40,$G14&lt;=3,35,$G14&lt;=7,25,$G14&lt;=14,15,$G14&lt;=30,8,TRUE(),0)+_xlfn.IFS($D14="Urgent",25,$D14="High",18,$D14="Normal",10,$D14="Low",5,TRUE(),0)+IF($K14="Us",20,0)+IF($J14&lt;=0,15,IF($J14=1,8,0))))</f>
        <v/>
      </c>
      <c r="M14" s="20" t="str">
        <f aca="false">IF('Fragrance Projects'!A14="","",'Fragrance Projects'!AK14)</f>
        <v/>
      </c>
    </row>
    <row r="15" customFormat="false" ht="24" hidden="false" customHeight="true" outlineLevel="0" collapsed="false">
      <c r="A15" s="37" t="str">
        <f aca="false">IF('Fragrance Projects'!A15="","",'Fragrance Projects'!A15)</f>
        <v/>
      </c>
      <c r="B15" s="37" t="str">
        <f aca="false">IF('Fragrance Projects'!A15="","",'Fragrance Projects'!C15)</f>
        <v/>
      </c>
      <c r="C15" s="37" t="str">
        <f aca="false">IF('Fragrance Projects'!A15="","",'Fragrance Projects'!D15)</f>
        <v/>
      </c>
      <c r="D15" s="20" t="str">
        <f aca="false">IF('Fragrance Projects'!A15="","",'Fragrance Projects'!I15)</f>
        <v/>
      </c>
      <c r="E15" s="20" t="str">
        <f aca="false">IF('Fragrance Projects'!A15="","",'Fragrance Projects'!H15)</f>
        <v/>
      </c>
      <c r="F15" s="44" t="str">
        <f aca="false">IF('Fragrance Projects'!A15="","",'Fragrance Projects'!F15)</f>
        <v/>
      </c>
      <c r="G15" s="20" t="str">
        <f aca="false">IF('Fragrance Projects'!A15="","",'Fragrance Projects'!G15)</f>
        <v/>
      </c>
      <c r="H15" s="19" t="str">
        <f aca="false">IF('Fragrance Projects'!A15="","",'Fragrance Projects'!P15)</f>
        <v/>
      </c>
      <c r="I15" s="30"/>
      <c r="J15" s="20" t="str">
        <f aca="false">IF('Fragrance Projects'!A15="","",'Fragrance Projects'!M15)</f>
        <v/>
      </c>
      <c r="K15" s="20" t="str">
        <f aca="false">IF('Fragrance Projects'!A15="","",'Fragrance Projects'!O15)</f>
        <v/>
      </c>
      <c r="L15" s="20" t="str">
        <f aca="false">IF($A15="","",IF($E15="Complete",0,_xlfn.IFS($G15&lt;0,40,$G15&lt;=3,35,$G15&lt;=7,25,$G15&lt;=14,15,$G15&lt;=30,8,TRUE(),0)+_xlfn.IFS($D15="Urgent",25,$D15="High",18,$D15="Normal",10,$D15="Low",5,TRUE(),0)+IF($K15="Us",20,0)+IF($J15&lt;=0,15,IF($J15=1,8,0))))</f>
        <v/>
      </c>
      <c r="M15" s="20" t="str">
        <f aca="false">IF('Fragrance Projects'!A15="","",'Fragrance Projects'!AK15)</f>
        <v/>
      </c>
    </row>
    <row r="16" customFormat="false" ht="24" hidden="false" customHeight="true" outlineLevel="0" collapsed="false">
      <c r="A16" s="37" t="str">
        <f aca="false">IF('Fragrance Projects'!A16="","",'Fragrance Projects'!A16)</f>
        <v/>
      </c>
      <c r="B16" s="37" t="str">
        <f aca="false">IF('Fragrance Projects'!A16="","",'Fragrance Projects'!C16)</f>
        <v/>
      </c>
      <c r="C16" s="37" t="str">
        <f aca="false">IF('Fragrance Projects'!A16="","",'Fragrance Projects'!D16)</f>
        <v/>
      </c>
      <c r="D16" s="20" t="str">
        <f aca="false">IF('Fragrance Projects'!A16="","",'Fragrance Projects'!I16)</f>
        <v/>
      </c>
      <c r="E16" s="20" t="str">
        <f aca="false">IF('Fragrance Projects'!A16="","",'Fragrance Projects'!H16)</f>
        <v/>
      </c>
      <c r="F16" s="44" t="str">
        <f aca="false">IF('Fragrance Projects'!A16="","",'Fragrance Projects'!F16)</f>
        <v/>
      </c>
      <c r="G16" s="20" t="str">
        <f aca="false">IF('Fragrance Projects'!A16="","",'Fragrance Projects'!G16)</f>
        <v/>
      </c>
      <c r="H16" s="19" t="str">
        <f aca="false">IF('Fragrance Projects'!A16="","",'Fragrance Projects'!P16)</f>
        <v/>
      </c>
      <c r="I16" s="30"/>
      <c r="J16" s="20" t="str">
        <f aca="false">IF('Fragrance Projects'!A16="","",'Fragrance Projects'!M16)</f>
        <v/>
      </c>
      <c r="K16" s="20" t="str">
        <f aca="false">IF('Fragrance Projects'!A16="","",'Fragrance Projects'!O16)</f>
        <v/>
      </c>
      <c r="L16" s="20" t="str">
        <f aca="false">IF($A16="","",IF($E16="Complete",0,_xlfn.IFS($G16&lt;0,40,$G16&lt;=3,35,$G16&lt;=7,25,$G16&lt;=14,15,$G16&lt;=30,8,TRUE(),0)+_xlfn.IFS($D16="Urgent",25,$D16="High",18,$D16="Normal",10,$D16="Low",5,TRUE(),0)+IF($K16="Us",20,0)+IF($J16&lt;=0,15,IF($J16=1,8,0))))</f>
        <v/>
      </c>
      <c r="M16" s="20" t="str">
        <f aca="false">IF('Fragrance Projects'!A16="","",'Fragrance Projects'!AK16)</f>
        <v/>
      </c>
    </row>
    <row r="17" customFormat="false" ht="24" hidden="false" customHeight="true" outlineLevel="0" collapsed="false">
      <c r="A17" s="37" t="str">
        <f aca="false">IF('Fragrance Projects'!A17="","",'Fragrance Projects'!A17)</f>
        <v/>
      </c>
      <c r="B17" s="37" t="str">
        <f aca="false">IF('Fragrance Projects'!A17="","",'Fragrance Projects'!C17)</f>
        <v/>
      </c>
      <c r="C17" s="37" t="str">
        <f aca="false">IF('Fragrance Projects'!A17="","",'Fragrance Projects'!D17)</f>
        <v/>
      </c>
      <c r="D17" s="20" t="str">
        <f aca="false">IF('Fragrance Projects'!A17="","",'Fragrance Projects'!I17)</f>
        <v/>
      </c>
      <c r="E17" s="20" t="str">
        <f aca="false">IF('Fragrance Projects'!A17="","",'Fragrance Projects'!H17)</f>
        <v/>
      </c>
      <c r="F17" s="44" t="str">
        <f aca="false">IF('Fragrance Projects'!A17="","",'Fragrance Projects'!F17)</f>
        <v/>
      </c>
      <c r="G17" s="20" t="str">
        <f aca="false">IF('Fragrance Projects'!A17="","",'Fragrance Projects'!G17)</f>
        <v/>
      </c>
      <c r="H17" s="19" t="str">
        <f aca="false">IF('Fragrance Projects'!A17="","",'Fragrance Projects'!P17)</f>
        <v/>
      </c>
      <c r="I17" s="30"/>
      <c r="J17" s="20" t="str">
        <f aca="false">IF('Fragrance Projects'!A17="","",'Fragrance Projects'!M17)</f>
        <v/>
      </c>
      <c r="K17" s="20" t="str">
        <f aca="false">IF('Fragrance Projects'!A17="","",'Fragrance Projects'!O17)</f>
        <v/>
      </c>
      <c r="L17" s="20" t="str">
        <f aca="false">IF($A17="","",IF($E17="Complete",0,_xlfn.IFS($G17&lt;0,40,$G17&lt;=3,35,$G17&lt;=7,25,$G17&lt;=14,15,$G17&lt;=30,8,TRUE(),0)+_xlfn.IFS($D17="Urgent",25,$D17="High",18,$D17="Normal",10,$D17="Low",5,TRUE(),0)+IF($K17="Us",20,0)+IF($J17&lt;=0,15,IF($J17=1,8,0))))</f>
        <v/>
      </c>
      <c r="M17" s="20" t="str">
        <f aca="false">IF('Fragrance Projects'!A17="","",'Fragrance Projects'!AK17)</f>
        <v/>
      </c>
    </row>
    <row r="18" customFormat="false" ht="24" hidden="false" customHeight="true" outlineLevel="0" collapsed="false">
      <c r="A18" s="37" t="str">
        <f aca="false">IF('Fragrance Projects'!A18="","",'Fragrance Projects'!A18)</f>
        <v/>
      </c>
      <c r="B18" s="37" t="str">
        <f aca="false">IF('Fragrance Projects'!A18="","",'Fragrance Projects'!C18)</f>
        <v/>
      </c>
      <c r="C18" s="37" t="str">
        <f aca="false">IF('Fragrance Projects'!A18="","",'Fragrance Projects'!D18)</f>
        <v/>
      </c>
      <c r="D18" s="20" t="str">
        <f aca="false">IF('Fragrance Projects'!A18="","",'Fragrance Projects'!I18)</f>
        <v/>
      </c>
      <c r="E18" s="20" t="str">
        <f aca="false">IF('Fragrance Projects'!A18="","",'Fragrance Projects'!H18)</f>
        <v/>
      </c>
      <c r="F18" s="44" t="str">
        <f aca="false">IF('Fragrance Projects'!A18="","",'Fragrance Projects'!F18)</f>
        <v/>
      </c>
      <c r="G18" s="20" t="str">
        <f aca="false">IF('Fragrance Projects'!A18="","",'Fragrance Projects'!G18)</f>
        <v/>
      </c>
      <c r="H18" s="19" t="str">
        <f aca="false">IF('Fragrance Projects'!A18="","",'Fragrance Projects'!P18)</f>
        <v/>
      </c>
      <c r="I18" s="30"/>
      <c r="J18" s="20" t="str">
        <f aca="false">IF('Fragrance Projects'!A18="","",'Fragrance Projects'!M18)</f>
        <v/>
      </c>
      <c r="K18" s="20" t="str">
        <f aca="false">IF('Fragrance Projects'!A18="","",'Fragrance Projects'!O18)</f>
        <v/>
      </c>
      <c r="L18" s="20" t="str">
        <f aca="false">IF($A18="","",IF($E18="Complete",0,_xlfn.IFS($G18&lt;0,40,$G18&lt;=3,35,$G18&lt;=7,25,$G18&lt;=14,15,$G18&lt;=30,8,TRUE(),0)+_xlfn.IFS($D18="Urgent",25,$D18="High",18,$D18="Normal",10,$D18="Low",5,TRUE(),0)+IF($K18="Us",20,0)+IF($J18&lt;=0,15,IF($J18=1,8,0))))</f>
        <v/>
      </c>
      <c r="M18" s="20" t="str">
        <f aca="false">IF('Fragrance Projects'!A18="","",'Fragrance Projects'!AK18)</f>
        <v/>
      </c>
    </row>
    <row r="19" customFormat="false" ht="24" hidden="false" customHeight="true" outlineLevel="0" collapsed="false">
      <c r="A19" s="37" t="str">
        <f aca="false">IF('Fragrance Projects'!A19="","",'Fragrance Projects'!A19)</f>
        <v/>
      </c>
      <c r="B19" s="37" t="str">
        <f aca="false">IF('Fragrance Projects'!A19="","",'Fragrance Projects'!C19)</f>
        <v/>
      </c>
      <c r="C19" s="37" t="str">
        <f aca="false">IF('Fragrance Projects'!A19="","",'Fragrance Projects'!D19)</f>
        <v/>
      </c>
      <c r="D19" s="20" t="str">
        <f aca="false">IF('Fragrance Projects'!A19="","",'Fragrance Projects'!I19)</f>
        <v/>
      </c>
      <c r="E19" s="20" t="str">
        <f aca="false">IF('Fragrance Projects'!A19="","",'Fragrance Projects'!H19)</f>
        <v/>
      </c>
      <c r="F19" s="44" t="str">
        <f aca="false">IF('Fragrance Projects'!A19="","",'Fragrance Projects'!F19)</f>
        <v/>
      </c>
      <c r="G19" s="20" t="str">
        <f aca="false">IF('Fragrance Projects'!A19="","",'Fragrance Projects'!G19)</f>
        <v/>
      </c>
      <c r="H19" s="19" t="str">
        <f aca="false">IF('Fragrance Projects'!A19="","",'Fragrance Projects'!P19)</f>
        <v/>
      </c>
      <c r="I19" s="30"/>
      <c r="J19" s="20" t="str">
        <f aca="false">IF('Fragrance Projects'!A19="","",'Fragrance Projects'!M19)</f>
        <v/>
      </c>
      <c r="K19" s="20" t="str">
        <f aca="false">IF('Fragrance Projects'!A19="","",'Fragrance Projects'!O19)</f>
        <v/>
      </c>
      <c r="L19" s="20" t="str">
        <f aca="false">IF($A19="","",IF($E19="Complete",0,_xlfn.IFS($G19&lt;0,40,$G19&lt;=3,35,$G19&lt;=7,25,$G19&lt;=14,15,$G19&lt;=30,8,TRUE(),0)+_xlfn.IFS($D19="Urgent",25,$D19="High",18,$D19="Normal",10,$D19="Low",5,TRUE(),0)+IF($K19="Us",20,0)+IF($J19&lt;=0,15,IF($J19=1,8,0))))</f>
        <v/>
      </c>
      <c r="M19" s="20" t="str">
        <f aca="false">IF('Fragrance Projects'!A19="","",'Fragrance Projects'!AK19)</f>
        <v/>
      </c>
    </row>
    <row r="20" customFormat="false" ht="24" hidden="false" customHeight="true" outlineLevel="0" collapsed="false">
      <c r="A20" s="37" t="str">
        <f aca="false">IF('Fragrance Projects'!A20="","",'Fragrance Projects'!A20)</f>
        <v/>
      </c>
      <c r="B20" s="37" t="str">
        <f aca="false">IF('Fragrance Projects'!A20="","",'Fragrance Projects'!C20)</f>
        <v/>
      </c>
      <c r="C20" s="37" t="str">
        <f aca="false">IF('Fragrance Projects'!A20="","",'Fragrance Projects'!D20)</f>
        <v/>
      </c>
      <c r="D20" s="20" t="str">
        <f aca="false">IF('Fragrance Projects'!A20="","",'Fragrance Projects'!I20)</f>
        <v/>
      </c>
      <c r="E20" s="20" t="str">
        <f aca="false">IF('Fragrance Projects'!A20="","",'Fragrance Projects'!H20)</f>
        <v/>
      </c>
      <c r="F20" s="44" t="str">
        <f aca="false">IF('Fragrance Projects'!A20="","",'Fragrance Projects'!F20)</f>
        <v/>
      </c>
      <c r="G20" s="20" t="str">
        <f aca="false">IF('Fragrance Projects'!A20="","",'Fragrance Projects'!G20)</f>
        <v/>
      </c>
      <c r="H20" s="19" t="str">
        <f aca="false">IF('Fragrance Projects'!A20="","",'Fragrance Projects'!P20)</f>
        <v/>
      </c>
      <c r="I20" s="30"/>
      <c r="J20" s="20" t="str">
        <f aca="false">IF('Fragrance Projects'!A20="","",'Fragrance Projects'!M20)</f>
        <v/>
      </c>
      <c r="K20" s="20" t="str">
        <f aca="false">IF('Fragrance Projects'!A20="","",'Fragrance Projects'!O20)</f>
        <v/>
      </c>
      <c r="L20" s="20" t="str">
        <f aca="false">IF($A20="","",IF($E20="Complete",0,_xlfn.IFS($G20&lt;0,40,$G20&lt;=3,35,$G20&lt;=7,25,$G20&lt;=14,15,$G20&lt;=30,8,TRUE(),0)+_xlfn.IFS($D20="Urgent",25,$D20="High",18,$D20="Normal",10,$D20="Low",5,TRUE(),0)+IF($K20="Us",20,0)+IF($J20&lt;=0,15,IF($J20=1,8,0))))</f>
        <v/>
      </c>
      <c r="M20" s="20" t="str">
        <f aca="false">IF('Fragrance Projects'!A20="","",'Fragrance Projects'!AK20)</f>
        <v/>
      </c>
    </row>
    <row r="21" customFormat="false" ht="24" hidden="false" customHeight="true" outlineLevel="0" collapsed="false">
      <c r="A21" s="37" t="str">
        <f aca="false">IF('Fragrance Projects'!A21="","",'Fragrance Projects'!A21)</f>
        <v/>
      </c>
      <c r="B21" s="37" t="str">
        <f aca="false">IF('Fragrance Projects'!A21="","",'Fragrance Projects'!C21)</f>
        <v/>
      </c>
      <c r="C21" s="37" t="str">
        <f aca="false">IF('Fragrance Projects'!A21="","",'Fragrance Projects'!D21)</f>
        <v/>
      </c>
      <c r="D21" s="20" t="str">
        <f aca="false">IF('Fragrance Projects'!A21="","",'Fragrance Projects'!I21)</f>
        <v/>
      </c>
      <c r="E21" s="20" t="str">
        <f aca="false">IF('Fragrance Projects'!A21="","",'Fragrance Projects'!H21)</f>
        <v/>
      </c>
      <c r="F21" s="44" t="str">
        <f aca="false">IF('Fragrance Projects'!A21="","",'Fragrance Projects'!F21)</f>
        <v/>
      </c>
      <c r="G21" s="20" t="str">
        <f aca="false">IF('Fragrance Projects'!A21="","",'Fragrance Projects'!G21)</f>
        <v/>
      </c>
      <c r="H21" s="19" t="str">
        <f aca="false">IF('Fragrance Projects'!A21="","",'Fragrance Projects'!P21)</f>
        <v/>
      </c>
      <c r="I21" s="30"/>
      <c r="J21" s="20" t="str">
        <f aca="false">IF('Fragrance Projects'!A21="","",'Fragrance Projects'!M21)</f>
        <v/>
      </c>
      <c r="K21" s="20" t="str">
        <f aca="false">IF('Fragrance Projects'!A21="","",'Fragrance Projects'!O21)</f>
        <v/>
      </c>
      <c r="L21" s="20" t="str">
        <f aca="false">IF($A21="","",IF($E21="Complete",0,_xlfn.IFS($G21&lt;0,40,$G21&lt;=3,35,$G21&lt;=7,25,$G21&lt;=14,15,$G21&lt;=30,8,TRUE(),0)+_xlfn.IFS($D21="Urgent",25,$D21="High",18,$D21="Normal",10,$D21="Low",5,TRUE(),0)+IF($K21="Us",20,0)+IF($J21&lt;=0,15,IF($J21=1,8,0))))</f>
        <v/>
      </c>
      <c r="M21" s="20" t="str">
        <f aca="false">IF('Fragrance Projects'!A21="","",'Fragrance Projects'!AK21)</f>
        <v/>
      </c>
    </row>
    <row r="22" customFormat="false" ht="24" hidden="false" customHeight="true" outlineLevel="0" collapsed="false">
      <c r="A22" s="37" t="str">
        <f aca="false">IF('Fragrance Projects'!A22="","",'Fragrance Projects'!A22)</f>
        <v/>
      </c>
      <c r="B22" s="37" t="str">
        <f aca="false">IF('Fragrance Projects'!A22="","",'Fragrance Projects'!C22)</f>
        <v/>
      </c>
      <c r="C22" s="37" t="str">
        <f aca="false">IF('Fragrance Projects'!A22="","",'Fragrance Projects'!D22)</f>
        <v/>
      </c>
      <c r="D22" s="20" t="str">
        <f aca="false">IF('Fragrance Projects'!A22="","",'Fragrance Projects'!I22)</f>
        <v/>
      </c>
      <c r="E22" s="20" t="str">
        <f aca="false">IF('Fragrance Projects'!A22="","",'Fragrance Projects'!H22)</f>
        <v/>
      </c>
      <c r="F22" s="44" t="str">
        <f aca="false">IF('Fragrance Projects'!A22="","",'Fragrance Projects'!F22)</f>
        <v/>
      </c>
      <c r="G22" s="20" t="str">
        <f aca="false">IF('Fragrance Projects'!A22="","",'Fragrance Projects'!G22)</f>
        <v/>
      </c>
      <c r="H22" s="19" t="str">
        <f aca="false">IF('Fragrance Projects'!A22="","",'Fragrance Projects'!P22)</f>
        <v/>
      </c>
      <c r="I22" s="30"/>
      <c r="J22" s="20" t="str">
        <f aca="false">IF('Fragrance Projects'!A22="","",'Fragrance Projects'!M22)</f>
        <v/>
      </c>
      <c r="K22" s="20" t="str">
        <f aca="false">IF('Fragrance Projects'!A22="","",'Fragrance Projects'!O22)</f>
        <v/>
      </c>
      <c r="L22" s="20" t="str">
        <f aca="false">IF($A22="","",IF($E22="Complete",0,_xlfn.IFS($G22&lt;0,40,$G22&lt;=3,35,$G22&lt;=7,25,$G22&lt;=14,15,$G22&lt;=30,8,TRUE(),0)+_xlfn.IFS($D22="Urgent",25,$D22="High",18,$D22="Normal",10,$D22="Low",5,TRUE(),0)+IF($K22="Us",20,0)+IF($J22&lt;=0,15,IF($J22=1,8,0))))</f>
        <v/>
      </c>
      <c r="M22" s="20" t="str">
        <f aca="false">IF('Fragrance Projects'!A22="","",'Fragrance Projects'!AK22)</f>
        <v/>
      </c>
    </row>
    <row r="23" customFormat="false" ht="24" hidden="false" customHeight="true" outlineLevel="0" collapsed="false">
      <c r="A23" s="37" t="str">
        <f aca="false">IF('Fragrance Projects'!A23="","",'Fragrance Projects'!A23)</f>
        <v/>
      </c>
      <c r="B23" s="37" t="str">
        <f aca="false">IF('Fragrance Projects'!A23="","",'Fragrance Projects'!C23)</f>
        <v/>
      </c>
      <c r="C23" s="37" t="str">
        <f aca="false">IF('Fragrance Projects'!A23="","",'Fragrance Projects'!D23)</f>
        <v/>
      </c>
      <c r="D23" s="20" t="str">
        <f aca="false">IF('Fragrance Projects'!A23="","",'Fragrance Projects'!I23)</f>
        <v/>
      </c>
      <c r="E23" s="20" t="str">
        <f aca="false">IF('Fragrance Projects'!A23="","",'Fragrance Projects'!H23)</f>
        <v/>
      </c>
      <c r="F23" s="44" t="str">
        <f aca="false">IF('Fragrance Projects'!A23="","",'Fragrance Projects'!F23)</f>
        <v/>
      </c>
      <c r="G23" s="20" t="str">
        <f aca="false">IF('Fragrance Projects'!A23="","",'Fragrance Projects'!G23)</f>
        <v/>
      </c>
      <c r="H23" s="19" t="str">
        <f aca="false">IF('Fragrance Projects'!A23="","",'Fragrance Projects'!P23)</f>
        <v/>
      </c>
      <c r="I23" s="30"/>
      <c r="J23" s="20" t="str">
        <f aca="false">IF('Fragrance Projects'!A23="","",'Fragrance Projects'!M23)</f>
        <v/>
      </c>
      <c r="K23" s="20" t="str">
        <f aca="false">IF('Fragrance Projects'!A23="","",'Fragrance Projects'!O23)</f>
        <v/>
      </c>
      <c r="L23" s="20" t="str">
        <f aca="false">IF($A23="","",IF($E23="Complete",0,_xlfn.IFS($G23&lt;0,40,$G23&lt;=3,35,$G23&lt;=7,25,$G23&lt;=14,15,$G23&lt;=30,8,TRUE(),0)+_xlfn.IFS($D23="Urgent",25,$D23="High",18,$D23="Normal",10,$D23="Low",5,TRUE(),0)+IF($K23="Us",20,0)+IF($J23&lt;=0,15,IF($J23=1,8,0))))</f>
        <v/>
      </c>
      <c r="M23" s="20" t="str">
        <f aca="false">IF('Fragrance Projects'!A23="","",'Fragrance Projects'!AK23)</f>
        <v/>
      </c>
    </row>
    <row r="24" customFormat="false" ht="24" hidden="false" customHeight="true" outlineLevel="0" collapsed="false">
      <c r="A24" s="37" t="str">
        <f aca="false">IF('Fragrance Projects'!A24="","",'Fragrance Projects'!A24)</f>
        <v/>
      </c>
      <c r="B24" s="37" t="str">
        <f aca="false">IF('Fragrance Projects'!A24="","",'Fragrance Projects'!C24)</f>
        <v/>
      </c>
      <c r="C24" s="37" t="str">
        <f aca="false">IF('Fragrance Projects'!A24="","",'Fragrance Projects'!D24)</f>
        <v/>
      </c>
      <c r="D24" s="20" t="str">
        <f aca="false">IF('Fragrance Projects'!A24="","",'Fragrance Projects'!I24)</f>
        <v/>
      </c>
      <c r="E24" s="20" t="str">
        <f aca="false">IF('Fragrance Projects'!A24="","",'Fragrance Projects'!H24)</f>
        <v/>
      </c>
      <c r="F24" s="44" t="str">
        <f aca="false">IF('Fragrance Projects'!A24="","",'Fragrance Projects'!F24)</f>
        <v/>
      </c>
      <c r="G24" s="20" t="str">
        <f aca="false">IF('Fragrance Projects'!A24="","",'Fragrance Projects'!G24)</f>
        <v/>
      </c>
      <c r="H24" s="19" t="str">
        <f aca="false">IF('Fragrance Projects'!A24="","",'Fragrance Projects'!P24)</f>
        <v/>
      </c>
      <c r="I24" s="30"/>
      <c r="J24" s="20" t="str">
        <f aca="false">IF('Fragrance Projects'!A24="","",'Fragrance Projects'!M24)</f>
        <v/>
      </c>
      <c r="K24" s="20" t="str">
        <f aca="false">IF('Fragrance Projects'!A24="","",'Fragrance Projects'!O24)</f>
        <v/>
      </c>
      <c r="L24" s="20" t="str">
        <f aca="false">IF($A24="","",IF($E24="Complete",0,_xlfn.IFS($G24&lt;0,40,$G24&lt;=3,35,$G24&lt;=7,25,$G24&lt;=14,15,$G24&lt;=30,8,TRUE(),0)+_xlfn.IFS($D24="Urgent",25,$D24="High",18,$D24="Normal",10,$D24="Low",5,TRUE(),0)+IF($K24="Us",20,0)+IF($J24&lt;=0,15,IF($J24=1,8,0))))</f>
        <v/>
      </c>
      <c r="M24" s="20" t="str">
        <f aca="false">IF('Fragrance Projects'!A24="","",'Fragrance Projects'!AK24)</f>
        <v/>
      </c>
    </row>
    <row r="25" customFormat="false" ht="24" hidden="false" customHeight="true" outlineLevel="0" collapsed="false">
      <c r="A25" s="37" t="str">
        <f aca="false">IF('Fragrance Projects'!A25="","",'Fragrance Projects'!A25)</f>
        <v/>
      </c>
      <c r="B25" s="37" t="str">
        <f aca="false">IF('Fragrance Projects'!A25="","",'Fragrance Projects'!C25)</f>
        <v/>
      </c>
      <c r="C25" s="37" t="str">
        <f aca="false">IF('Fragrance Projects'!A25="","",'Fragrance Projects'!D25)</f>
        <v/>
      </c>
      <c r="D25" s="20" t="str">
        <f aca="false">IF('Fragrance Projects'!A25="","",'Fragrance Projects'!I25)</f>
        <v/>
      </c>
      <c r="E25" s="20" t="str">
        <f aca="false">IF('Fragrance Projects'!A25="","",'Fragrance Projects'!H25)</f>
        <v/>
      </c>
      <c r="F25" s="44" t="str">
        <f aca="false">IF('Fragrance Projects'!A25="","",'Fragrance Projects'!F25)</f>
        <v/>
      </c>
      <c r="G25" s="20" t="str">
        <f aca="false">IF('Fragrance Projects'!A25="","",'Fragrance Projects'!G25)</f>
        <v/>
      </c>
      <c r="H25" s="19" t="str">
        <f aca="false">IF('Fragrance Projects'!A25="","",'Fragrance Projects'!P25)</f>
        <v/>
      </c>
      <c r="I25" s="30"/>
      <c r="J25" s="20" t="str">
        <f aca="false">IF('Fragrance Projects'!A25="","",'Fragrance Projects'!M25)</f>
        <v/>
      </c>
      <c r="K25" s="20" t="str">
        <f aca="false">IF('Fragrance Projects'!A25="","",'Fragrance Projects'!O25)</f>
        <v/>
      </c>
      <c r="L25" s="20" t="str">
        <f aca="false">IF($A25="","",IF($E25="Complete",0,_xlfn.IFS($G25&lt;0,40,$G25&lt;=3,35,$G25&lt;=7,25,$G25&lt;=14,15,$G25&lt;=30,8,TRUE(),0)+_xlfn.IFS($D25="Urgent",25,$D25="High",18,$D25="Normal",10,$D25="Low",5,TRUE(),0)+IF($K25="Us",20,0)+IF($J25&lt;=0,15,IF($J25=1,8,0))))</f>
        <v/>
      </c>
      <c r="M25" s="20" t="str">
        <f aca="false">IF('Fragrance Projects'!A25="","",'Fragrance Projects'!AK25)</f>
        <v/>
      </c>
    </row>
    <row r="26" customFormat="false" ht="24" hidden="false" customHeight="true" outlineLevel="0" collapsed="false">
      <c r="A26" s="37" t="str">
        <f aca="false">IF('Fragrance Projects'!A26="","",'Fragrance Projects'!A26)</f>
        <v/>
      </c>
      <c r="B26" s="37" t="str">
        <f aca="false">IF('Fragrance Projects'!A26="","",'Fragrance Projects'!C26)</f>
        <v/>
      </c>
      <c r="C26" s="37" t="str">
        <f aca="false">IF('Fragrance Projects'!A26="","",'Fragrance Projects'!D26)</f>
        <v/>
      </c>
      <c r="D26" s="20" t="str">
        <f aca="false">IF('Fragrance Projects'!A26="","",'Fragrance Projects'!I26)</f>
        <v/>
      </c>
      <c r="E26" s="20" t="str">
        <f aca="false">IF('Fragrance Projects'!A26="","",'Fragrance Projects'!H26)</f>
        <v/>
      </c>
      <c r="F26" s="44" t="str">
        <f aca="false">IF('Fragrance Projects'!A26="","",'Fragrance Projects'!F26)</f>
        <v/>
      </c>
      <c r="G26" s="20" t="str">
        <f aca="false">IF('Fragrance Projects'!A26="","",'Fragrance Projects'!G26)</f>
        <v/>
      </c>
      <c r="H26" s="19" t="str">
        <f aca="false">IF('Fragrance Projects'!A26="","",'Fragrance Projects'!P26)</f>
        <v/>
      </c>
      <c r="I26" s="30"/>
      <c r="J26" s="20" t="str">
        <f aca="false">IF('Fragrance Projects'!A26="","",'Fragrance Projects'!M26)</f>
        <v/>
      </c>
      <c r="K26" s="20" t="str">
        <f aca="false">IF('Fragrance Projects'!A26="","",'Fragrance Projects'!O26)</f>
        <v/>
      </c>
      <c r="L26" s="20" t="str">
        <f aca="false">IF($A26="","",IF($E26="Complete",0,_xlfn.IFS($G26&lt;0,40,$G26&lt;=3,35,$G26&lt;=7,25,$G26&lt;=14,15,$G26&lt;=30,8,TRUE(),0)+_xlfn.IFS($D26="Urgent",25,$D26="High",18,$D26="Normal",10,$D26="Low",5,TRUE(),0)+IF($K26="Us",20,0)+IF($J26&lt;=0,15,IF($J26=1,8,0))))</f>
        <v/>
      </c>
      <c r="M26" s="20" t="str">
        <f aca="false">IF('Fragrance Projects'!A26="","",'Fragrance Projects'!AK26)</f>
        <v/>
      </c>
    </row>
    <row r="27" customFormat="false" ht="24" hidden="false" customHeight="true" outlineLevel="0" collapsed="false">
      <c r="A27" s="37" t="str">
        <f aca="false">IF('Fragrance Projects'!A27="","",'Fragrance Projects'!A27)</f>
        <v/>
      </c>
      <c r="B27" s="37" t="str">
        <f aca="false">IF('Fragrance Projects'!A27="","",'Fragrance Projects'!C27)</f>
        <v/>
      </c>
      <c r="C27" s="37" t="str">
        <f aca="false">IF('Fragrance Projects'!A27="","",'Fragrance Projects'!D27)</f>
        <v/>
      </c>
      <c r="D27" s="20" t="str">
        <f aca="false">IF('Fragrance Projects'!A27="","",'Fragrance Projects'!I27)</f>
        <v/>
      </c>
      <c r="E27" s="20" t="str">
        <f aca="false">IF('Fragrance Projects'!A27="","",'Fragrance Projects'!H27)</f>
        <v/>
      </c>
      <c r="F27" s="44" t="str">
        <f aca="false">IF('Fragrance Projects'!A27="","",'Fragrance Projects'!F27)</f>
        <v/>
      </c>
      <c r="G27" s="20" t="str">
        <f aca="false">IF('Fragrance Projects'!A27="","",'Fragrance Projects'!G27)</f>
        <v/>
      </c>
      <c r="H27" s="19" t="str">
        <f aca="false">IF('Fragrance Projects'!A27="","",'Fragrance Projects'!P27)</f>
        <v/>
      </c>
      <c r="I27" s="30"/>
      <c r="J27" s="20" t="str">
        <f aca="false">IF('Fragrance Projects'!A27="","",'Fragrance Projects'!M27)</f>
        <v/>
      </c>
      <c r="K27" s="20" t="str">
        <f aca="false">IF('Fragrance Projects'!A27="","",'Fragrance Projects'!O27)</f>
        <v/>
      </c>
      <c r="L27" s="20" t="str">
        <f aca="false">IF($A27="","",IF($E27="Complete",0,_xlfn.IFS($G27&lt;0,40,$G27&lt;=3,35,$G27&lt;=7,25,$G27&lt;=14,15,$G27&lt;=30,8,TRUE(),0)+_xlfn.IFS($D27="Urgent",25,$D27="High",18,$D27="Normal",10,$D27="Low",5,TRUE(),0)+IF($K27="Us",20,0)+IF($J27&lt;=0,15,IF($J27=1,8,0))))</f>
        <v/>
      </c>
      <c r="M27" s="20" t="str">
        <f aca="false">IF('Fragrance Projects'!A27="","",'Fragrance Projects'!AK27)</f>
        <v/>
      </c>
    </row>
    <row r="28" customFormat="false" ht="24" hidden="false" customHeight="true" outlineLevel="0" collapsed="false">
      <c r="A28" s="37" t="str">
        <f aca="false">IF('Fragrance Projects'!A28="","",'Fragrance Projects'!A28)</f>
        <v/>
      </c>
      <c r="B28" s="37" t="str">
        <f aca="false">IF('Fragrance Projects'!A28="","",'Fragrance Projects'!C28)</f>
        <v/>
      </c>
      <c r="C28" s="37" t="str">
        <f aca="false">IF('Fragrance Projects'!A28="","",'Fragrance Projects'!D28)</f>
        <v/>
      </c>
      <c r="D28" s="20" t="str">
        <f aca="false">IF('Fragrance Projects'!A28="","",'Fragrance Projects'!I28)</f>
        <v/>
      </c>
      <c r="E28" s="20" t="str">
        <f aca="false">IF('Fragrance Projects'!A28="","",'Fragrance Projects'!H28)</f>
        <v/>
      </c>
      <c r="F28" s="44" t="str">
        <f aca="false">IF('Fragrance Projects'!A28="","",'Fragrance Projects'!F28)</f>
        <v/>
      </c>
      <c r="G28" s="20" t="str">
        <f aca="false">IF('Fragrance Projects'!A28="","",'Fragrance Projects'!G28)</f>
        <v/>
      </c>
      <c r="H28" s="19" t="str">
        <f aca="false">IF('Fragrance Projects'!A28="","",'Fragrance Projects'!P28)</f>
        <v/>
      </c>
      <c r="I28" s="30"/>
      <c r="J28" s="20" t="str">
        <f aca="false">IF('Fragrance Projects'!A28="","",'Fragrance Projects'!M28)</f>
        <v/>
      </c>
      <c r="K28" s="20" t="str">
        <f aca="false">IF('Fragrance Projects'!A28="","",'Fragrance Projects'!O28)</f>
        <v/>
      </c>
      <c r="L28" s="20" t="str">
        <f aca="false">IF($A28="","",IF($E28="Complete",0,_xlfn.IFS($G28&lt;0,40,$G28&lt;=3,35,$G28&lt;=7,25,$G28&lt;=14,15,$G28&lt;=30,8,TRUE(),0)+_xlfn.IFS($D28="Urgent",25,$D28="High",18,$D28="Normal",10,$D28="Low",5,TRUE(),0)+IF($K28="Us",20,0)+IF($J28&lt;=0,15,IF($J28=1,8,0))))</f>
        <v/>
      </c>
      <c r="M28" s="20" t="str">
        <f aca="false">IF('Fragrance Projects'!A28="","",'Fragrance Projects'!AK28)</f>
        <v/>
      </c>
    </row>
    <row r="29" customFormat="false" ht="24" hidden="false" customHeight="true" outlineLevel="0" collapsed="false">
      <c r="A29" s="37" t="str">
        <f aca="false">IF('Fragrance Projects'!A29="","",'Fragrance Projects'!A29)</f>
        <v/>
      </c>
      <c r="B29" s="37" t="str">
        <f aca="false">IF('Fragrance Projects'!A29="","",'Fragrance Projects'!C29)</f>
        <v/>
      </c>
      <c r="C29" s="37" t="str">
        <f aca="false">IF('Fragrance Projects'!A29="","",'Fragrance Projects'!D29)</f>
        <v/>
      </c>
      <c r="D29" s="20" t="str">
        <f aca="false">IF('Fragrance Projects'!A29="","",'Fragrance Projects'!I29)</f>
        <v/>
      </c>
      <c r="E29" s="20" t="str">
        <f aca="false">IF('Fragrance Projects'!A29="","",'Fragrance Projects'!H29)</f>
        <v/>
      </c>
      <c r="F29" s="44" t="str">
        <f aca="false">IF('Fragrance Projects'!A29="","",'Fragrance Projects'!F29)</f>
        <v/>
      </c>
      <c r="G29" s="20" t="str">
        <f aca="false">IF('Fragrance Projects'!A29="","",'Fragrance Projects'!G29)</f>
        <v/>
      </c>
      <c r="H29" s="19" t="str">
        <f aca="false">IF('Fragrance Projects'!A29="","",'Fragrance Projects'!P29)</f>
        <v/>
      </c>
      <c r="I29" s="30"/>
      <c r="J29" s="20" t="str">
        <f aca="false">IF('Fragrance Projects'!A29="","",'Fragrance Projects'!M29)</f>
        <v/>
      </c>
      <c r="K29" s="20" t="str">
        <f aca="false">IF('Fragrance Projects'!A29="","",'Fragrance Projects'!O29)</f>
        <v/>
      </c>
      <c r="L29" s="20" t="str">
        <f aca="false">IF($A29="","",IF($E29="Complete",0,_xlfn.IFS($G29&lt;0,40,$G29&lt;=3,35,$G29&lt;=7,25,$G29&lt;=14,15,$G29&lt;=30,8,TRUE(),0)+_xlfn.IFS($D29="Urgent",25,$D29="High",18,$D29="Normal",10,$D29="Low",5,TRUE(),0)+IF($K29="Us",20,0)+IF($J29&lt;=0,15,IF($J29=1,8,0))))</f>
        <v/>
      </c>
      <c r="M29" s="20" t="str">
        <f aca="false">IF('Fragrance Projects'!A29="","",'Fragrance Projects'!AK29)</f>
        <v/>
      </c>
    </row>
    <row r="30" customFormat="false" ht="24" hidden="false" customHeight="true" outlineLevel="0" collapsed="false">
      <c r="A30" s="37" t="str">
        <f aca="false">IF('Fragrance Projects'!A30="","",'Fragrance Projects'!A30)</f>
        <v/>
      </c>
      <c r="B30" s="37" t="str">
        <f aca="false">IF('Fragrance Projects'!A30="","",'Fragrance Projects'!C30)</f>
        <v/>
      </c>
      <c r="C30" s="37" t="str">
        <f aca="false">IF('Fragrance Projects'!A30="","",'Fragrance Projects'!D30)</f>
        <v/>
      </c>
      <c r="D30" s="20" t="str">
        <f aca="false">IF('Fragrance Projects'!A30="","",'Fragrance Projects'!I30)</f>
        <v/>
      </c>
      <c r="E30" s="20" t="str">
        <f aca="false">IF('Fragrance Projects'!A30="","",'Fragrance Projects'!H30)</f>
        <v/>
      </c>
      <c r="F30" s="44" t="str">
        <f aca="false">IF('Fragrance Projects'!A30="","",'Fragrance Projects'!F30)</f>
        <v/>
      </c>
      <c r="G30" s="20" t="str">
        <f aca="false">IF('Fragrance Projects'!A30="","",'Fragrance Projects'!G30)</f>
        <v/>
      </c>
      <c r="H30" s="19" t="str">
        <f aca="false">IF('Fragrance Projects'!A30="","",'Fragrance Projects'!P30)</f>
        <v/>
      </c>
      <c r="I30" s="30"/>
      <c r="J30" s="20" t="str">
        <f aca="false">IF('Fragrance Projects'!A30="","",'Fragrance Projects'!M30)</f>
        <v/>
      </c>
      <c r="K30" s="20" t="str">
        <f aca="false">IF('Fragrance Projects'!A30="","",'Fragrance Projects'!O30)</f>
        <v/>
      </c>
      <c r="L30" s="20" t="str">
        <f aca="false">IF($A30="","",IF($E30="Complete",0,_xlfn.IFS($G30&lt;0,40,$G30&lt;=3,35,$G30&lt;=7,25,$G30&lt;=14,15,$G30&lt;=30,8,TRUE(),0)+_xlfn.IFS($D30="Urgent",25,$D30="High",18,$D30="Normal",10,$D30="Low",5,TRUE(),0)+IF($K30="Us",20,0)+IF($J30&lt;=0,15,IF($J30=1,8,0))))</f>
        <v/>
      </c>
      <c r="M30" s="20" t="str">
        <f aca="false">IF('Fragrance Projects'!A30="","",'Fragrance Projects'!AK30)</f>
        <v/>
      </c>
    </row>
    <row r="31" customFormat="false" ht="24" hidden="false" customHeight="true" outlineLevel="0" collapsed="false">
      <c r="A31" s="37" t="str">
        <f aca="false">IF('Fragrance Projects'!A31="","",'Fragrance Projects'!A31)</f>
        <v/>
      </c>
      <c r="B31" s="37" t="str">
        <f aca="false">IF('Fragrance Projects'!A31="","",'Fragrance Projects'!C31)</f>
        <v/>
      </c>
      <c r="C31" s="37" t="str">
        <f aca="false">IF('Fragrance Projects'!A31="","",'Fragrance Projects'!D31)</f>
        <v/>
      </c>
      <c r="D31" s="20" t="str">
        <f aca="false">IF('Fragrance Projects'!A31="","",'Fragrance Projects'!I31)</f>
        <v/>
      </c>
      <c r="E31" s="20" t="str">
        <f aca="false">IF('Fragrance Projects'!A31="","",'Fragrance Projects'!H31)</f>
        <v/>
      </c>
      <c r="F31" s="44" t="str">
        <f aca="false">IF('Fragrance Projects'!A31="","",'Fragrance Projects'!F31)</f>
        <v/>
      </c>
      <c r="G31" s="20" t="str">
        <f aca="false">IF('Fragrance Projects'!A31="","",'Fragrance Projects'!G31)</f>
        <v/>
      </c>
      <c r="H31" s="19" t="str">
        <f aca="false">IF('Fragrance Projects'!A31="","",'Fragrance Projects'!P31)</f>
        <v/>
      </c>
      <c r="I31" s="30"/>
      <c r="J31" s="20" t="str">
        <f aca="false">IF('Fragrance Projects'!A31="","",'Fragrance Projects'!M31)</f>
        <v/>
      </c>
      <c r="K31" s="20" t="str">
        <f aca="false">IF('Fragrance Projects'!A31="","",'Fragrance Projects'!O31)</f>
        <v/>
      </c>
      <c r="L31" s="20" t="str">
        <f aca="false">IF($A31="","",IF($E31="Complete",0,_xlfn.IFS($G31&lt;0,40,$G31&lt;=3,35,$G31&lt;=7,25,$G31&lt;=14,15,$G31&lt;=30,8,TRUE(),0)+_xlfn.IFS($D31="Urgent",25,$D31="High",18,$D31="Normal",10,$D31="Low",5,TRUE(),0)+IF($K31="Us",20,0)+IF($J31&lt;=0,15,IF($J31=1,8,0))))</f>
        <v/>
      </c>
      <c r="M31" s="20" t="str">
        <f aca="false">IF('Fragrance Projects'!A31="","",'Fragrance Projects'!AK31)</f>
        <v/>
      </c>
    </row>
    <row r="32" customFormat="false" ht="24" hidden="false" customHeight="true" outlineLevel="0" collapsed="false">
      <c r="A32" s="37" t="str">
        <f aca="false">IF('Fragrance Projects'!A32="","",'Fragrance Projects'!A32)</f>
        <v/>
      </c>
      <c r="B32" s="37" t="str">
        <f aca="false">IF('Fragrance Projects'!A32="","",'Fragrance Projects'!C32)</f>
        <v/>
      </c>
      <c r="C32" s="37" t="str">
        <f aca="false">IF('Fragrance Projects'!A32="","",'Fragrance Projects'!D32)</f>
        <v/>
      </c>
      <c r="D32" s="20" t="str">
        <f aca="false">IF('Fragrance Projects'!A32="","",'Fragrance Projects'!I32)</f>
        <v/>
      </c>
      <c r="E32" s="20" t="str">
        <f aca="false">IF('Fragrance Projects'!A32="","",'Fragrance Projects'!H32)</f>
        <v/>
      </c>
      <c r="F32" s="44" t="str">
        <f aca="false">IF('Fragrance Projects'!A32="","",'Fragrance Projects'!F32)</f>
        <v/>
      </c>
      <c r="G32" s="20" t="str">
        <f aca="false">IF('Fragrance Projects'!A32="","",'Fragrance Projects'!G32)</f>
        <v/>
      </c>
      <c r="H32" s="19" t="str">
        <f aca="false">IF('Fragrance Projects'!A32="","",'Fragrance Projects'!P32)</f>
        <v/>
      </c>
      <c r="I32" s="30"/>
      <c r="J32" s="20" t="str">
        <f aca="false">IF('Fragrance Projects'!A32="","",'Fragrance Projects'!M32)</f>
        <v/>
      </c>
      <c r="K32" s="20" t="str">
        <f aca="false">IF('Fragrance Projects'!A32="","",'Fragrance Projects'!O32)</f>
        <v/>
      </c>
      <c r="L32" s="20" t="str">
        <f aca="false">IF($A32="","",IF($E32="Complete",0,_xlfn.IFS($G32&lt;0,40,$G32&lt;=3,35,$G32&lt;=7,25,$G32&lt;=14,15,$G32&lt;=30,8,TRUE(),0)+_xlfn.IFS($D32="Urgent",25,$D32="High",18,$D32="Normal",10,$D32="Low",5,TRUE(),0)+IF($K32="Us",20,0)+IF($J32&lt;=0,15,IF($J32=1,8,0))))</f>
        <v/>
      </c>
      <c r="M32" s="20" t="str">
        <f aca="false">IF('Fragrance Projects'!A32="","",'Fragrance Projects'!AK32)</f>
        <v/>
      </c>
    </row>
    <row r="33" customFormat="false" ht="24" hidden="false" customHeight="true" outlineLevel="0" collapsed="false">
      <c r="A33" s="37" t="str">
        <f aca="false">IF('Fragrance Projects'!A33="","",'Fragrance Projects'!A33)</f>
        <v/>
      </c>
      <c r="B33" s="37" t="str">
        <f aca="false">IF('Fragrance Projects'!A33="","",'Fragrance Projects'!C33)</f>
        <v/>
      </c>
      <c r="C33" s="37" t="str">
        <f aca="false">IF('Fragrance Projects'!A33="","",'Fragrance Projects'!D33)</f>
        <v/>
      </c>
      <c r="D33" s="20" t="str">
        <f aca="false">IF('Fragrance Projects'!A33="","",'Fragrance Projects'!I33)</f>
        <v/>
      </c>
      <c r="E33" s="20" t="str">
        <f aca="false">IF('Fragrance Projects'!A33="","",'Fragrance Projects'!H33)</f>
        <v/>
      </c>
      <c r="F33" s="44" t="str">
        <f aca="false">IF('Fragrance Projects'!A33="","",'Fragrance Projects'!F33)</f>
        <v/>
      </c>
      <c r="G33" s="20" t="str">
        <f aca="false">IF('Fragrance Projects'!A33="","",'Fragrance Projects'!G33)</f>
        <v/>
      </c>
      <c r="H33" s="19" t="str">
        <f aca="false">IF('Fragrance Projects'!A33="","",'Fragrance Projects'!P33)</f>
        <v/>
      </c>
      <c r="I33" s="30"/>
      <c r="J33" s="20" t="str">
        <f aca="false">IF('Fragrance Projects'!A33="","",'Fragrance Projects'!M33)</f>
        <v/>
      </c>
      <c r="K33" s="20" t="str">
        <f aca="false">IF('Fragrance Projects'!A33="","",'Fragrance Projects'!O33)</f>
        <v/>
      </c>
      <c r="L33" s="20" t="str">
        <f aca="false">IF($A33="","",IF($E33="Complete",0,_xlfn.IFS($G33&lt;0,40,$G33&lt;=3,35,$G33&lt;=7,25,$G33&lt;=14,15,$G33&lt;=30,8,TRUE(),0)+_xlfn.IFS($D33="Urgent",25,$D33="High",18,$D33="Normal",10,$D33="Low",5,TRUE(),0)+IF($K33="Us",20,0)+IF($J33&lt;=0,15,IF($J33=1,8,0))))</f>
        <v/>
      </c>
      <c r="M33" s="20" t="str">
        <f aca="false">IF('Fragrance Projects'!A33="","",'Fragrance Projects'!AK33)</f>
        <v/>
      </c>
    </row>
    <row r="34" customFormat="false" ht="24" hidden="false" customHeight="true" outlineLevel="0" collapsed="false">
      <c r="A34" s="37" t="str">
        <f aca="false">IF('Fragrance Projects'!A34="","",'Fragrance Projects'!A34)</f>
        <v/>
      </c>
      <c r="B34" s="37" t="str">
        <f aca="false">IF('Fragrance Projects'!A34="","",'Fragrance Projects'!C34)</f>
        <v/>
      </c>
      <c r="C34" s="37" t="str">
        <f aca="false">IF('Fragrance Projects'!A34="","",'Fragrance Projects'!D34)</f>
        <v/>
      </c>
      <c r="D34" s="20" t="str">
        <f aca="false">IF('Fragrance Projects'!A34="","",'Fragrance Projects'!I34)</f>
        <v/>
      </c>
      <c r="E34" s="20" t="str">
        <f aca="false">IF('Fragrance Projects'!A34="","",'Fragrance Projects'!H34)</f>
        <v/>
      </c>
      <c r="F34" s="44" t="str">
        <f aca="false">IF('Fragrance Projects'!A34="","",'Fragrance Projects'!F34)</f>
        <v/>
      </c>
      <c r="G34" s="20" t="str">
        <f aca="false">IF('Fragrance Projects'!A34="","",'Fragrance Projects'!G34)</f>
        <v/>
      </c>
      <c r="H34" s="19" t="str">
        <f aca="false">IF('Fragrance Projects'!A34="","",'Fragrance Projects'!P34)</f>
        <v/>
      </c>
      <c r="I34" s="30"/>
      <c r="J34" s="20" t="str">
        <f aca="false">IF('Fragrance Projects'!A34="","",'Fragrance Projects'!M34)</f>
        <v/>
      </c>
      <c r="K34" s="20" t="str">
        <f aca="false">IF('Fragrance Projects'!A34="","",'Fragrance Projects'!O34)</f>
        <v/>
      </c>
      <c r="L34" s="20" t="str">
        <f aca="false">IF($A34="","",IF($E34="Complete",0,_xlfn.IFS($G34&lt;0,40,$G34&lt;=3,35,$G34&lt;=7,25,$G34&lt;=14,15,$G34&lt;=30,8,TRUE(),0)+_xlfn.IFS($D34="Urgent",25,$D34="High",18,$D34="Normal",10,$D34="Low",5,TRUE(),0)+IF($K34="Us",20,0)+IF($J34&lt;=0,15,IF($J34=1,8,0))))</f>
        <v/>
      </c>
      <c r="M34" s="20" t="str">
        <f aca="false">IF('Fragrance Projects'!A34="","",'Fragrance Projects'!AK34)</f>
        <v/>
      </c>
    </row>
    <row r="35" customFormat="false" ht="24" hidden="false" customHeight="true" outlineLevel="0" collapsed="false">
      <c r="A35" s="37" t="str">
        <f aca="false">IF('Fragrance Projects'!A35="","",'Fragrance Projects'!A35)</f>
        <v/>
      </c>
      <c r="B35" s="37" t="str">
        <f aca="false">IF('Fragrance Projects'!A35="","",'Fragrance Projects'!C35)</f>
        <v/>
      </c>
      <c r="C35" s="37" t="str">
        <f aca="false">IF('Fragrance Projects'!A35="","",'Fragrance Projects'!D35)</f>
        <v/>
      </c>
      <c r="D35" s="20" t="str">
        <f aca="false">IF('Fragrance Projects'!A35="","",'Fragrance Projects'!I35)</f>
        <v/>
      </c>
      <c r="E35" s="20" t="str">
        <f aca="false">IF('Fragrance Projects'!A35="","",'Fragrance Projects'!H35)</f>
        <v/>
      </c>
      <c r="F35" s="44" t="str">
        <f aca="false">IF('Fragrance Projects'!A35="","",'Fragrance Projects'!F35)</f>
        <v/>
      </c>
      <c r="G35" s="20" t="str">
        <f aca="false">IF('Fragrance Projects'!A35="","",'Fragrance Projects'!G35)</f>
        <v/>
      </c>
      <c r="H35" s="19" t="str">
        <f aca="false">IF('Fragrance Projects'!A35="","",'Fragrance Projects'!P35)</f>
        <v/>
      </c>
      <c r="I35" s="30"/>
      <c r="J35" s="20" t="str">
        <f aca="false">IF('Fragrance Projects'!A35="","",'Fragrance Projects'!M35)</f>
        <v/>
      </c>
      <c r="K35" s="20" t="str">
        <f aca="false">IF('Fragrance Projects'!A35="","",'Fragrance Projects'!O35)</f>
        <v/>
      </c>
      <c r="L35" s="20" t="str">
        <f aca="false">IF($A35="","",IF($E35="Complete",0,_xlfn.IFS($G35&lt;0,40,$G35&lt;=3,35,$G35&lt;=7,25,$G35&lt;=14,15,$G35&lt;=30,8,TRUE(),0)+_xlfn.IFS($D35="Urgent",25,$D35="High",18,$D35="Normal",10,$D35="Low",5,TRUE(),0)+IF($K35="Us",20,0)+IF($J35&lt;=0,15,IF($J35=1,8,0))))</f>
        <v/>
      </c>
      <c r="M35" s="20" t="str">
        <f aca="false">IF('Fragrance Projects'!A35="","",'Fragrance Projects'!AK35)</f>
        <v/>
      </c>
    </row>
    <row r="36" customFormat="false" ht="24" hidden="false" customHeight="true" outlineLevel="0" collapsed="false">
      <c r="A36" s="37" t="str">
        <f aca="false">IF('Fragrance Projects'!A36="","",'Fragrance Projects'!A36)</f>
        <v/>
      </c>
      <c r="B36" s="37" t="str">
        <f aca="false">IF('Fragrance Projects'!A36="","",'Fragrance Projects'!C36)</f>
        <v/>
      </c>
      <c r="C36" s="37" t="str">
        <f aca="false">IF('Fragrance Projects'!A36="","",'Fragrance Projects'!D36)</f>
        <v/>
      </c>
      <c r="D36" s="20" t="str">
        <f aca="false">IF('Fragrance Projects'!A36="","",'Fragrance Projects'!I36)</f>
        <v/>
      </c>
      <c r="E36" s="20" t="str">
        <f aca="false">IF('Fragrance Projects'!A36="","",'Fragrance Projects'!H36)</f>
        <v/>
      </c>
      <c r="F36" s="44" t="str">
        <f aca="false">IF('Fragrance Projects'!A36="","",'Fragrance Projects'!F36)</f>
        <v/>
      </c>
      <c r="G36" s="20" t="str">
        <f aca="false">IF('Fragrance Projects'!A36="","",'Fragrance Projects'!G36)</f>
        <v/>
      </c>
      <c r="H36" s="19" t="str">
        <f aca="false">IF('Fragrance Projects'!A36="","",'Fragrance Projects'!P36)</f>
        <v/>
      </c>
      <c r="I36" s="30"/>
      <c r="J36" s="20" t="str">
        <f aca="false">IF('Fragrance Projects'!A36="","",'Fragrance Projects'!M36)</f>
        <v/>
      </c>
      <c r="K36" s="20" t="str">
        <f aca="false">IF('Fragrance Projects'!A36="","",'Fragrance Projects'!O36)</f>
        <v/>
      </c>
      <c r="L36" s="20" t="str">
        <f aca="false">IF($A36="","",IF($E36="Complete",0,_xlfn.IFS($G36&lt;0,40,$G36&lt;=3,35,$G36&lt;=7,25,$G36&lt;=14,15,$G36&lt;=30,8,TRUE(),0)+_xlfn.IFS($D36="Urgent",25,$D36="High",18,$D36="Normal",10,$D36="Low",5,TRUE(),0)+IF($K36="Us",20,0)+IF($J36&lt;=0,15,IF($J36=1,8,0))))</f>
        <v/>
      </c>
      <c r="M36" s="20" t="str">
        <f aca="false">IF('Fragrance Projects'!A36="","",'Fragrance Projects'!AK36)</f>
        <v/>
      </c>
    </row>
    <row r="37" customFormat="false" ht="24" hidden="false" customHeight="true" outlineLevel="0" collapsed="false">
      <c r="A37" s="37" t="str">
        <f aca="false">IF('Fragrance Projects'!A37="","",'Fragrance Projects'!A37)</f>
        <v/>
      </c>
      <c r="B37" s="37" t="str">
        <f aca="false">IF('Fragrance Projects'!A37="","",'Fragrance Projects'!C37)</f>
        <v/>
      </c>
      <c r="C37" s="37" t="str">
        <f aca="false">IF('Fragrance Projects'!A37="","",'Fragrance Projects'!D37)</f>
        <v/>
      </c>
      <c r="D37" s="20" t="str">
        <f aca="false">IF('Fragrance Projects'!A37="","",'Fragrance Projects'!I37)</f>
        <v/>
      </c>
      <c r="E37" s="20" t="str">
        <f aca="false">IF('Fragrance Projects'!A37="","",'Fragrance Projects'!H37)</f>
        <v/>
      </c>
      <c r="F37" s="44" t="str">
        <f aca="false">IF('Fragrance Projects'!A37="","",'Fragrance Projects'!F37)</f>
        <v/>
      </c>
      <c r="G37" s="20" t="str">
        <f aca="false">IF('Fragrance Projects'!A37="","",'Fragrance Projects'!G37)</f>
        <v/>
      </c>
      <c r="H37" s="19" t="str">
        <f aca="false">IF('Fragrance Projects'!A37="","",'Fragrance Projects'!P37)</f>
        <v/>
      </c>
      <c r="I37" s="30"/>
      <c r="J37" s="20" t="str">
        <f aca="false">IF('Fragrance Projects'!A37="","",'Fragrance Projects'!M37)</f>
        <v/>
      </c>
      <c r="K37" s="20" t="str">
        <f aca="false">IF('Fragrance Projects'!A37="","",'Fragrance Projects'!O37)</f>
        <v/>
      </c>
      <c r="L37" s="20" t="str">
        <f aca="false">IF($A37="","",IF($E37="Complete",0,_xlfn.IFS($G37&lt;0,40,$G37&lt;=3,35,$G37&lt;=7,25,$G37&lt;=14,15,$G37&lt;=30,8,TRUE(),0)+_xlfn.IFS($D37="Urgent",25,$D37="High",18,$D37="Normal",10,$D37="Low",5,TRUE(),0)+IF($K37="Us",20,0)+IF($J37&lt;=0,15,IF($J37=1,8,0))))</f>
        <v/>
      </c>
      <c r="M37" s="20" t="str">
        <f aca="false">IF('Fragrance Projects'!A37="","",'Fragrance Projects'!AK37)</f>
        <v/>
      </c>
    </row>
    <row r="38" customFormat="false" ht="24" hidden="false" customHeight="true" outlineLevel="0" collapsed="false">
      <c r="A38" s="37" t="str">
        <f aca="false">IF('Fragrance Projects'!A38="","",'Fragrance Projects'!A38)</f>
        <v/>
      </c>
      <c r="B38" s="37" t="str">
        <f aca="false">IF('Fragrance Projects'!A38="","",'Fragrance Projects'!C38)</f>
        <v/>
      </c>
      <c r="C38" s="37" t="str">
        <f aca="false">IF('Fragrance Projects'!A38="","",'Fragrance Projects'!D38)</f>
        <v/>
      </c>
      <c r="D38" s="20" t="str">
        <f aca="false">IF('Fragrance Projects'!A38="","",'Fragrance Projects'!I38)</f>
        <v/>
      </c>
      <c r="E38" s="20" t="str">
        <f aca="false">IF('Fragrance Projects'!A38="","",'Fragrance Projects'!H38)</f>
        <v/>
      </c>
      <c r="F38" s="44" t="str">
        <f aca="false">IF('Fragrance Projects'!A38="","",'Fragrance Projects'!F38)</f>
        <v/>
      </c>
      <c r="G38" s="20" t="str">
        <f aca="false">IF('Fragrance Projects'!A38="","",'Fragrance Projects'!G38)</f>
        <v/>
      </c>
      <c r="H38" s="19" t="str">
        <f aca="false">IF('Fragrance Projects'!A38="","",'Fragrance Projects'!P38)</f>
        <v/>
      </c>
      <c r="I38" s="30"/>
      <c r="J38" s="20" t="str">
        <f aca="false">IF('Fragrance Projects'!A38="","",'Fragrance Projects'!M38)</f>
        <v/>
      </c>
      <c r="K38" s="20" t="str">
        <f aca="false">IF('Fragrance Projects'!A38="","",'Fragrance Projects'!O38)</f>
        <v/>
      </c>
      <c r="L38" s="20" t="str">
        <f aca="false">IF($A38="","",IF($E38="Complete",0,_xlfn.IFS($G38&lt;0,40,$G38&lt;=3,35,$G38&lt;=7,25,$G38&lt;=14,15,$G38&lt;=30,8,TRUE(),0)+_xlfn.IFS($D38="Urgent",25,$D38="High",18,$D38="Normal",10,$D38="Low",5,TRUE(),0)+IF($K38="Us",20,0)+IF($J38&lt;=0,15,IF($J38=1,8,0))))</f>
        <v/>
      </c>
      <c r="M38" s="20" t="str">
        <f aca="false">IF('Fragrance Projects'!A38="","",'Fragrance Projects'!AK38)</f>
        <v/>
      </c>
    </row>
    <row r="39" customFormat="false" ht="24" hidden="false" customHeight="true" outlineLevel="0" collapsed="false">
      <c r="A39" s="37" t="str">
        <f aca="false">IF('Fragrance Projects'!A39="","",'Fragrance Projects'!A39)</f>
        <v/>
      </c>
      <c r="B39" s="37" t="str">
        <f aca="false">IF('Fragrance Projects'!A39="","",'Fragrance Projects'!C39)</f>
        <v/>
      </c>
      <c r="C39" s="37" t="str">
        <f aca="false">IF('Fragrance Projects'!A39="","",'Fragrance Projects'!D39)</f>
        <v/>
      </c>
      <c r="D39" s="20" t="str">
        <f aca="false">IF('Fragrance Projects'!A39="","",'Fragrance Projects'!I39)</f>
        <v/>
      </c>
      <c r="E39" s="20" t="str">
        <f aca="false">IF('Fragrance Projects'!A39="","",'Fragrance Projects'!H39)</f>
        <v/>
      </c>
      <c r="F39" s="44" t="str">
        <f aca="false">IF('Fragrance Projects'!A39="","",'Fragrance Projects'!F39)</f>
        <v/>
      </c>
      <c r="G39" s="20" t="str">
        <f aca="false">IF('Fragrance Projects'!A39="","",'Fragrance Projects'!G39)</f>
        <v/>
      </c>
      <c r="H39" s="19" t="str">
        <f aca="false">IF('Fragrance Projects'!A39="","",'Fragrance Projects'!P39)</f>
        <v/>
      </c>
      <c r="I39" s="30"/>
      <c r="J39" s="20" t="str">
        <f aca="false">IF('Fragrance Projects'!A39="","",'Fragrance Projects'!M39)</f>
        <v/>
      </c>
      <c r="K39" s="20" t="str">
        <f aca="false">IF('Fragrance Projects'!A39="","",'Fragrance Projects'!O39)</f>
        <v/>
      </c>
      <c r="L39" s="20" t="str">
        <f aca="false">IF($A39="","",IF($E39="Complete",0,_xlfn.IFS($G39&lt;0,40,$G39&lt;=3,35,$G39&lt;=7,25,$G39&lt;=14,15,$G39&lt;=30,8,TRUE(),0)+_xlfn.IFS($D39="Urgent",25,$D39="High",18,$D39="Normal",10,$D39="Low",5,TRUE(),0)+IF($K39="Us",20,0)+IF($J39&lt;=0,15,IF($J39=1,8,0))))</f>
        <v/>
      </c>
      <c r="M39" s="20" t="str">
        <f aca="false">IF('Fragrance Projects'!A39="","",'Fragrance Projects'!AK39)</f>
        <v/>
      </c>
    </row>
    <row r="40" customFormat="false" ht="24" hidden="false" customHeight="true" outlineLevel="0" collapsed="false">
      <c r="A40" s="37" t="str">
        <f aca="false">IF('Fragrance Projects'!A40="","",'Fragrance Projects'!A40)</f>
        <v/>
      </c>
      <c r="B40" s="37" t="str">
        <f aca="false">IF('Fragrance Projects'!A40="","",'Fragrance Projects'!C40)</f>
        <v/>
      </c>
      <c r="C40" s="37" t="str">
        <f aca="false">IF('Fragrance Projects'!A40="","",'Fragrance Projects'!D40)</f>
        <v/>
      </c>
      <c r="D40" s="20" t="str">
        <f aca="false">IF('Fragrance Projects'!A40="","",'Fragrance Projects'!I40)</f>
        <v/>
      </c>
      <c r="E40" s="20" t="str">
        <f aca="false">IF('Fragrance Projects'!A40="","",'Fragrance Projects'!H40)</f>
        <v/>
      </c>
      <c r="F40" s="44" t="str">
        <f aca="false">IF('Fragrance Projects'!A40="","",'Fragrance Projects'!F40)</f>
        <v/>
      </c>
      <c r="G40" s="20" t="str">
        <f aca="false">IF('Fragrance Projects'!A40="","",'Fragrance Projects'!G40)</f>
        <v/>
      </c>
      <c r="H40" s="19" t="str">
        <f aca="false">IF('Fragrance Projects'!A40="","",'Fragrance Projects'!P40)</f>
        <v/>
      </c>
      <c r="I40" s="30"/>
      <c r="J40" s="20" t="str">
        <f aca="false">IF('Fragrance Projects'!A40="","",'Fragrance Projects'!M40)</f>
        <v/>
      </c>
      <c r="K40" s="20" t="str">
        <f aca="false">IF('Fragrance Projects'!A40="","",'Fragrance Projects'!O40)</f>
        <v/>
      </c>
      <c r="L40" s="20" t="str">
        <f aca="false">IF($A40="","",IF($E40="Complete",0,_xlfn.IFS($G40&lt;0,40,$G40&lt;=3,35,$G40&lt;=7,25,$G40&lt;=14,15,$G40&lt;=30,8,TRUE(),0)+_xlfn.IFS($D40="Urgent",25,$D40="High",18,$D40="Normal",10,$D40="Low",5,TRUE(),0)+IF($K40="Us",20,0)+IF($J40&lt;=0,15,IF($J40=1,8,0))))</f>
        <v/>
      </c>
      <c r="M40" s="20" t="str">
        <f aca="false">IF('Fragrance Projects'!A40="","",'Fragrance Projects'!AK40)</f>
        <v/>
      </c>
    </row>
    <row r="41" customFormat="false" ht="24" hidden="false" customHeight="true" outlineLevel="0" collapsed="false">
      <c r="A41" s="37" t="str">
        <f aca="false">IF('Fragrance Projects'!A41="","",'Fragrance Projects'!A41)</f>
        <v/>
      </c>
      <c r="B41" s="37" t="str">
        <f aca="false">IF('Fragrance Projects'!A41="","",'Fragrance Projects'!C41)</f>
        <v/>
      </c>
      <c r="C41" s="37" t="str">
        <f aca="false">IF('Fragrance Projects'!A41="","",'Fragrance Projects'!D41)</f>
        <v/>
      </c>
      <c r="D41" s="20" t="str">
        <f aca="false">IF('Fragrance Projects'!A41="","",'Fragrance Projects'!I41)</f>
        <v/>
      </c>
      <c r="E41" s="20" t="str">
        <f aca="false">IF('Fragrance Projects'!A41="","",'Fragrance Projects'!H41)</f>
        <v/>
      </c>
      <c r="F41" s="44" t="str">
        <f aca="false">IF('Fragrance Projects'!A41="","",'Fragrance Projects'!F41)</f>
        <v/>
      </c>
      <c r="G41" s="20" t="str">
        <f aca="false">IF('Fragrance Projects'!A41="","",'Fragrance Projects'!G41)</f>
        <v/>
      </c>
      <c r="H41" s="19" t="str">
        <f aca="false">IF('Fragrance Projects'!A41="","",'Fragrance Projects'!P41)</f>
        <v/>
      </c>
      <c r="I41" s="30"/>
      <c r="J41" s="20" t="str">
        <f aca="false">IF('Fragrance Projects'!A41="","",'Fragrance Projects'!M41)</f>
        <v/>
      </c>
      <c r="K41" s="20" t="str">
        <f aca="false">IF('Fragrance Projects'!A41="","",'Fragrance Projects'!O41)</f>
        <v/>
      </c>
      <c r="L41" s="20" t="str">
        <f aca="false">IF($A41="","",IF($E41="Complete",0,_xlfn.IFS($G41&lt;0,40,$G41&lt;=3,35,$G41&lt;=7,25,$G41&lt;=14,15,$G41&lt;=30,8,TRUE(),0)+_xlfn.IFS($D41="Urgent",25,$D41="High",18,$D41="Normal",10,$D41="Low",5,TRUE(),0)+IF($K41="Us",20,0)+IF($J41&lt;=0,15,IF($J41=1,8,0))))</f>
        <v/>
      </c>
      <c r="M41" s="20" t="str">
        <f aca="false">IF('Fragrance Projects'!A41="","",'Fragrance Projects'!AK41)</f>
        <v/>
      </c>
    </row>
    <row r="42" customFormat="false" ht="24" hidden="false" customHeight="true" outlineLevel="0" collapsed="false">
      <c r="A42" s="37" t="str">
        <f aca="false">IF('Fragrance Projects'!A42="","",'Fragrance Projects'!A42)</f>
        <v/>
      </c>
      <c r="B42" s="37" t="str">
        <f aca="false">IF('Fragrance Projects'!A42="","",'Fragrance Projects'!C42)</f>
        <v/>
      </c>
      <c r="C42" s="37" t="str">
        <f aca="false">IF('Fragrance Projects'!A42="","",'Fragrance Projects'!D42)</f>
        <v/>
      </c>
      <c r="D42" s="20" t="str">
        <f aca="false">IF('Fragrance Projects'!A42="","",'Fragrance Projects'!I42)</f>
        <v/>
      </c>
      <c r="E42" s="20" t="str">
        <f aca="false">IF('Fragrance Projects'!A42="","",'Fragrance Projects'!H42)</f>
        <v/>
      </c>
      <c r="F42" s="44" t="str">
        <f aca="false">IF('Fragrance Projects'!A42="","",'Fragrance Projects'!F42)</f>
        <v/>
      </c>
      <c r="G42" s="20" t="str">
        <f aca="false">IF('Fragrance Projects'!A42="","",'Fragrance Projects'!G42)</f>
        <v/>
      </c>
      <c r="H42" s="19" t="str">
        <f aca="false">IF('Fragrance Projects'!A42="","",'Fragrance Projects'!P42)</f>
        <v/>
      </c>
      <c r="I42" s="30"/>
      <c r="J42" s="20" t="str">
        <f aca="false">IF('Fragrance Projects'!A42="","",'Fragrance Projects'!M42)</f>
        <v/>
      </c>
      <c r="K42" s="20" t="str">
        <f aca="false">IF('Fragrance Projects'!A42="","",'Fragrance Projects'!O42)</f>
        <v/>
      </c>
      <c r="L42" s="20" t="str">
        <f aca="false">IF($A42="","",IF($E42="Complete",0,_xlfn.IFS($G42&lt;0,40,$G42&lt;=3,35,$G42&lt;=7,25,$G42&lt;=14,15,$G42&lt;=30,8,TRUE(),0)+_xlfn.IFS($D42="Urgent",25,$D42="High",18,$D42="Normal",10,$D42="Low",5,TRUE(),0)+IF($K42="Us",20,0)+IF($J42&lt;=0,15,IF($J42=1,8,0))))</f>
        <v/>
      </c>
      <c r="M42" s="20" t="str">
        <f aca="false">IF('Fragrance Projects'!A42="","",'Fragrance Projects'!AK42)</f>
        <v/>
      </c>
    </row>
    <row r="43" customFormat="false" ht="24" hidden="false" customHeight="true" outlineLevel="0" collapsed="false">
      <c r="A43" s="37" t="str">
        <f aca="false">IF('Fragrance Projects'!A43="","",'Fragrance Projects'!A43)</f>
        <v/>
      </c>
      <c r="B43" s="37" t="str">
        <f aca="false">IF('Fragrance Projects'!A43="","",'Fragrance Projects'!C43)</f>
        <v/>
      </c>
      <c r="C43" s="37" t="str">
        <f aca="false">IF('Fragrance Projects'!A43="","",'Fragrance Projects'!D43)</f>
        <v/>
      </c>
      <c r="D43" s="20" t="str">
        <f aca="false">IF('Fragrance Projects'!A43="","",'Fragrance Projects'!I43)</f>
        <v/>
      </c>
      <c r="E43" s="20" t="str">
        <f aca="false">IF('Fragrance Projects'!A43="","",'Fragrance Projects'!H43)</f>
        <v/>
      </c>
      <c r="F43" s="44" t="str">
        <f aca="false">IF('Fragrance Projects'!A43="","",'Fragrance Projects'!F43)</f>
        <v/>
      </c>
      <c r="G43" s="20" t="str">
        <f aca="false">IF('Fragrance Projects'!A43="","",'Fragrance Projects'!G43)</f>
        <v/>
      </c>
      <c r="H43" s="19" t="str">
        <f aca="false">IF('Fragrance Projects'!A43="","",'Fragrance Projects'!P43)</f>
        <v/>
      </c>
      <c r="I43" s="30"/>
      <c r="J43" s="20" t="str">
        <f aca="false">IF('Fragrance Projects'!A43="","",'Fragrance Projects'!M43)</f>
        <v/>
      </c>
      <c r="K43" s="20" t="str">
        <f aca="false">IF('Fragrance Projects'!A43="","",'Fragrance Projects'!O43)</f>
        <v/>
      </c>
      <c r="L43" s="20" t="str">
        <f aca="false">IF($A43="","",IF($E43="Complete",0,_xlfn.IFS($G43&lt;0,40,$G43&lt;=3,35,$G43&lt;=7,25,$G43&lt;=14,15,$G43&lt;=30,8,TRUE(),0)+_xlfn.IFS($D43="Urgent",25,$D43="High",18,$D43="Normal",10,$D43="Low",5,TRUE(),0)+IF($K43="Us",20,0)+IF($J43&lt;=0,15,IF($J43=1,8,0))))</f>
        <v/>
      </c>
      <c r="M43" s="20" t="str">
        <f aca="false">IF('Fragrance Projects'!A43="","",'Fragrance Projects'!AK43)</f>
        <v/>
      </c>
    </row>
    <row r="44" customFormat="false" ht="24" hidden="false" customHeight="true" outlineLevel="0" collapsed="false">
      <c r="A44" s="37" t="str">
        <f aca="false">IF('Fragrance Projects'!A44="","",'Fragrance Projects'!A44)</f>
        <v/>
      </c>
      <c r="B44" s="37" t="str">
        <f aca="false">IF('Fragrance Projects'!A44="","",'Fragrance Projects'!C44)</f>
        <v/>
      </c>
      <c r="C44" s="37" t="str">
        <f aca="false">IF('Fragrance Projects'!A44="","",'Fragrance Projects'!D44)</f>
        <v/>
      </c>
      <c r="D44" s="20" t="str">
        <f aca="false">IF('Fragrance Projects'!A44="","",'Fragrance Projects'!I44)</f>
        <v/>
      </c>
      <c r="E44" s="20" t="str">
        <f aca="false">IF('Fragrance Projects'!A44="","",'Fragrance Projects'!H44)</f>
        <v/>
      </c>
      <c r="F44" s="44" t="str">
        <f aca="false">IF('Fragrance Projects'!A44="","",'Fragrance Projects'!F44)</f>
        <v/>
      </c>
      <c r="G44" s="20" t="str">
        <f aca="false">IF('Fragrance Projects'!A44="","",'Fragrance Projects'!G44)</f>
        <v/>
      </c>
      <c r="H44" s="19" t="str">
        <f aca="false">IF('Fragrance Projects'!A44="","",'Fragrance Projects'!P44)</f>
        <v/>
      </c>
      <c r="I44" s="30"/>
      <c r="J44" s="20" t="str">
        <f aca="false">IF('Fragrance Projects'!A44="","",'Fragrance Projects'!M44)</f>
        <v/>
      </c>
      <c r="K44" s="20" t="str">
        <f aca="false">IF('Fragrance Projects'!A44="","",'Fragrance Projects'!O44)</f>
        <v/>
      </c>
      <c r="L44" s="20" t="str">
        <f aca="false">IF($A44="","",IF($E44="Complete",0,_xlfn.IFS($G44&lt;0,40,$G44&lt;=3,35,$G44&lt;=7,25,$G44&lt;=14,15,$G44&lt;=30,8,TRUE(),0)+_xlfn.IFS($D44="Urgent",25,$D44="High",18,$D44="Normal",10,$D44="Low",5,TRUE(),0)+IF($K44="Us",20,0)+IF($J44&lt;=0,15,IF($J44=1,8,0))))</f>
        <v/>
      </c>
      <c r="M44" s="20" t="str">
        <f aca="false">IF('Fragrance Projects'!A44="","",'Fragrance Projects'!AK44)</f>
        <v/>
      </c>
    </row>
    <row r="45" customFormat="false" ht="24" hidden="false" customHeight="true" outlineLevel="0" collapsed="false">
      <c r="A45" s="37" t="str">
        <f aca="false">IF('Fragrance Projects'!A45="","",'Fragrance Projects'!A45)</f>
        <v/>
      </c>
      <c r="B45" s="37" t="str">
        <f aca="false">IF('Fragrance Projects'!A45="","",'Fragrance Projects'!C45)</f>
        <v/>
      </c>
      <c r="C45" s="37" t="str">
        <f aca="false">IF('Fragrance Projects'!A45="","",'Fragrance Projects'!D45)</f>
        <v/>
      </c>
      <c r="D45" s="20" t="str">
        <f aca="false">IF('Fragrance Projects'!A45="","",'Fragrance Projects'!I45)</f>
        <v/>
      </c>
      <c r="E45" s="20" t="str">
        <f aca="false">IF('Fragrance Projects'!A45="","",'Fragrance Projects'!H45)</f>
        <v/>
      </c>
      <c r="F45" s="44" t="str">
        <f aca="false">IF('Fragrance Projects'!A45="","",'Fragrance Projects'!F45)</f>
        <v/>
      </c>
      <c r="G45" s="20" t="str">
        <f aca="false">IF('Fragrance Projects'!A45="","",'Fragrance Projects'!G45)</f>
        <v/>
      </c>
      <c r="H45" s="19" t="str">
        <f aca="false">IF('Fragrance Projects'!A45="","",'Fragrance Projects'!P45)</f>
        <v/>
      </c>
      <c r="I45" s="30"/>
      <c r="J45" s="20" t="str">
        <f aca="false">IF('Fragrance Projects'!A45="","",'Fragrance Projects'!M45)</f>
        <v/>
      </c>
      <c r="K45" s="20" t="str">
        <f aca="false">IF('Fragrance Projects'!A45="","",'Fragrance Projects'!O45)</f>
        <v/>
      </c>
      <c r="L45" s="20" t="str">
        <f aca="false">IF($A45="","",IF($E45="Complete",0,_xlfn.IFS($G45&lt;0,40,$G45&lt;=3,35,$G45&lt;=7,25,$G45&lt;=14,15,$G45&lt;=30,8,TRUE(),0)+_xlfn.IFS($D45="Urgent",25,$D45="High",18,$D45="Normal",10,$D45="Low",5,TRUE(),0)+IF($K45="Us",20,0)+IF($J45&lt;=0,15,IF($J45=1,8,0))))</f>
        <v/>
      </c>
      <c r="M45" s="20" t="str">
        <f aca="false">IF('Fragrance Projects'!A45="","",'Fragrance Projects'!AK45)</f>
        <v/>
      </c>
    </row>
    <row r="46" customFormat="false" ht="24" hidden="false" customHeight="true" outlineLevel="0" collapsed="false">
      <c r="A46" s="37" t="str">
        <f aca="false">IF('Fragrance Projects'!A46="","",'Fragrance Projects'!A46)</f>
        <v/>
      </c>
      <c r="B46" s="37" t="str">
        <f aca="false">IF('Fragrance Projects'!A46="","",'Fragrance Projects'!C46)</f>
        <v/>
      </c>
      <c r="C46" s="37" t="str">
        <f aca="false">IF('Fragrance Projects'!A46="","",'Fragrance Projects'!D46)</f>
        <v/>
      </c>
      <c r="D46" s="20" t="str">
        <f aca="false">IF('Fragrance Projects'!A46="","",'Fragrance Projects'!I46)</f>
        <v/>
      </c>
      <c r="E46" s="20" t="str">
        <f aca="false">IF('Fragrance Projects'!A46="","",'Fragrance Projects'!H46)</f>
        <v/>
      </c>
      <c r="F46" s="44" t="str">
        <f aca="false">IF('Fragrance Projects'!A46="","",'Fragrance Projects'!F46)</f>
        <v/>
      </c>
      <c r="G46" s="20" t="str">
        <f aca="false">IF('Fragrance Projects'!A46="","",'Fragrance Projects'!G46)</f>
        <v/>
      </c>
      <c r="H46" s="19" t="str">
        <f aca="false">IF('Fragrance Projects'!A46="","",'Fragrance Projects'!P46)</f>
        <v/>
      </c>
      <c r="I46" s="30"/>
      <c r="J46" s="20" t="str">
        <f aca="false">IF('Fragrance Projects'!A46="","",'Fragrance Projects'!M46)</f>
        <v/>
      </c>
      <c r="K46" s="20" t="str">
        <f aca="false">IF('Fragrance Projects'!A46="","",'Fragrance Projects'!O46)</f>
        <v/>
      </c>
      <c r="L46" s="20" t="str">
        <f aca="false">IF($A46="","",IF($E46="Complete",0,_xlfn.IFS($G46&lt;0,40,$G46&lt;=3,35,$G46&lt;=7,25,$G46&lt;=14,15,$G46&lt;=30,8,TRUE(),0)+_xlfn.IFS($D46="Urgent",25,$D46="High",18,$D46="Normal",10,$D46="Low",5,TRUE(),0)+IF($K46="Us",20,0)+IF($J46&lt;=0,15,IF($J46=1,8,0))))</f>
        <v/>
      </c>
      <c r="M46" s="20" t="str">
        <f aca="false">IF('Fragrance Projects'!A46="","",'Fragrance Projects'!AK46)</f>
        <v/>
      </c>
    </row>
    <row r="47" customFormat="false" ht="24" hidden="false" customHeight="true" outlineLevel="0" collapsed="false">
      <c r="A47" s="37" t="str">
        <f aca="false">IF('Fragrance Projects'!A47="","",'Fragrance Projects'!A47)</f>
        <v/>
      </c>
      <c r="B47" s="37" t="str">
        <f aca="false">IF('Fragrance Projects'!A47="","",'Fragrance Projects'!C47)</f>
        <v/>
      </c>
      <c r="C47" s="37" t="str">
        <f aca="false">IF('Fragrance Projects'!A47="","",'Fragrance Projects'!D47)</f>
        <v/>
      </c>
      <c r="D47" s="20" t="str">
        <f aca="false">IF('Fragrance Projects'!A47="","",'Fragrance Projects'!I47)</f>
        <v/>
      </c>
      <c r="E47" s="20" t="str">
        <f aca="false">IF('Fragrance Projects'!A47="","",'Fragrance Projects'!H47)</f>
        <v/>
      </c>
      <c r="F47" s="44" t="str">
        <f aca="false">IF('Fragrance Projects'!A47="","",'Fragrance Projects'!F47)</f>
        <v/>
      </c>
      <c r="G47" s="20" t="str">
        <f aca="false">IF('Fragrance Projects'!A47="","",'Fragrance Projects'!G47)</f>
        <v/>
      </c>
      <c r="H47" s="19" t="str">
        <f aca="false">IF('Fragrance Projects'!A47="","",'Fragrance Projects'!P47)</f>
        <v/>
      </c>
      <c r="I47" s="30"/>
      <c r="J47" s="20" t="str">
        <f aca="false">IF('Fragrance Projects'!A47="","",'Fragrance Projects'!M47)</f>
        <v/>
      </c>
      <c r="K47" s="20" t="str">
        <f aca="false">IF('Fragrance Projects'!A47="","",'Fragrance Projects'!O47)</f>
        <v/>
      </c>
      <c r="L47" s="20" t="str">
        <f aca="false">IF($A47="","",IF($E47="Complete",0,_xlfn.IFS($G47&lt;0,40,$G47&lt;=3,35,$G47&lt;=7,25,$G47&lt;=14,15,$G47&lt;=30,8,TRUE(),0)+_xlfn.IFS($D47="Urgent",25,$D47="High",18,$D47="Normal",10,$D47="Low",5,TRUE(),0)+IF($K47="Us",20,0)+IF($J47&lt;=0,15,IF($J47=1,8,0))))</f>
        <v/>
      </c>
      <c r="M47" s="20" t="str">
        <f aca="false">IF('Fragrance Projects'!A47="","",'Fragrance Projects'!AK47)</f>
        <v/>
      </c>
    </row>
    <row r="48" customFormat="false" ht="24" hidden="false" customHeight="true" outlineLevel="0" collapsed="false">
      <c r="A48" s="37" t="str">
        <f aca="false">IF('Fragrance Projects'!A48="","",'Fragrance Projects'!A48)</f>
        <v/>
      </c>
      <c r="B48" s="37" t="str">
        <f aca="false">IF('Fragrance Projects'!A48="","",'Fragrance Projects'!C48)</f>
        <v/>
      </c>
      <c r="C48" s="37" t="str">
        <f aca="false">IF('Fragrance Projects'!A48="","",'Fragrance Projects'!D48)</f>
        <v/>
      </c>
      <c r="D48" s="20" t="str">
        <f aca="false">IF('Fragrance Projects'!A48="","",'Fragrance Projects'!I48)</f>
        <v/>
      </c>
      <c r="E48" s="20" t="str">
        <f aca="false">IF('Fragrance Projects'!A48="","",'Fragrance Projects'!H48)</f>
        <v/>
      </c>
      <c r="F48" s="44" t="str">
        <f aca="false">IF('Fragrance Projects'!A48="","",'Fragrance Projects'!F48)</f>
        <v/>
      </c>
      <c r="G48" s="20" t="str">
        <f aca="false">IF('Fragrance Projects'!A48="","",'Fragrance Projects'!G48)</f>
        <v/>
      </c>
      <c r="H48" s="19" t="str">
        <f aca="false">IF('Fragrance Projects'!A48="","",'Fragrance Projects'!P48)</f>
        <v/>
      </c>
      <c r="I48" s="30"/>
      <c r="J48" s="20" t="str">
        <f aca="false">IF('Fragrance Projects'!A48="","",'Fragrance Projects'!M48)</f>
        <v/>
      </c>
      <c r="K48" s="20" t="str">
        <f aca="false">IF('Fragrance Projects'!A48="","",'Fragrance Projects'!O48)</f>
        <v/>
      </c>
      <c r="L48" s="20" t="str">
        <f aca="false">IF($A48="","",IF($E48="Complete",0,_xlfn.IFS($G48&lt;0,40,$G48&lt;=3,35,$G48&lt;=7,25,$G48&lt;=14,15,$G48&lt;=30,8,TRUE(),0)+_xlfn.IFS($D48="Urgent",25,$D48="High",18,$D48="Normal",10,$D48="Low",5,TRUE(),0)+IF($K48="Us",20,0)+IF($J48&lt;=0,15,IF($J48=1,8,0))))</f>
        <v/>
      </c>
      <c r="M48" s="20" t="str">
        <f aca="false">IF('Fragrance Projects'!A48="","",'Fragrance Projects'!AK48)</f>
        <v/>
      </c>
    </row>
    <row r="49" customFormat="false" ht="24" hidden="false" customHeight="true" outlineLevel="0" collapsed="false">
      <c r="A49" s="37" t="str">
        <f aca="false">IF('Fragrance Projects'!A49="","",'Fragrance Projects'!A49)</f>
        <v/>
      </c>
      <c r="B49" s="37" t="str">
        <f aca="false">IF('Fragrance Projects'!A49="","",'Fragrance Projects'!C49)</f>
        <v/>
      </c>
      <c r="C49" s="37" t="str">
        <f aca="false">IF('Fragrance Projects'!A49="","",'Fragrance Projects'!D49)</f>
        <v/>
      </c>
      <c r="D49" s="20" t="str">
        <f aca="false">IF('Fragrance Projects'!A49="","",'Fragrance Projects'!I49)</f>
        <v/>
      </c>
      <c r="E49" s="20" t="str">
        <f aca="false">IF('Fragrance Projects'!A49="","",'Fragrance Projects'!H49)</f>
        <v/>
      </c>
      <c r="F49" s="44" t="str">
        <f aca="false">IF('Fragrance Projects'!A49="","",'Fragrance Projects'!F49)</f>
        <v/>
      </c>
      <c r="G49" s="20" t="str">
        <f aca="false">IF('Fragrance Projects'!A49="","",'Fragrance Projects'!G49)</f>
        <v/>
      </c>
      <c r="H49" s="19" t="str">
        <f aca="false">IF('Fragrance Projects'!A49="","",'Fragrance Projects'!P49)</f>
        <v/>
      </c>
      <c r="I49" s="30"/>
      <c r="J49" s="20" t="str">
        <f aca="false">IF('Fragrance Projects'!A49="","",'Fragrance Projects'!M49)</f>
        <v/>
      </c>
      <c r="K49" s="20" t="str">
        <f aca="false">IF('Fragrance Projects'!A49="","",'Fragrance Projects'!O49)</f>
        <v/>
      </c>
      <c r="L49" s="20" t="str">
        <f aca="false">IF($A49="","",IF($E49="Complete",0,_xlfn.IFS($G49&lt;0,40,$G49&lt;=3,35,$G49&lt;=7,25,$G49&lt;=14,15,$G49&lt;=30,8,TRUE(),0)+_xlfn.IFS($D49="Urgent",25,$D49="High",18,$D49="Normal",10,$D49="Low",5,TRUE(),0)+IF($K49="Us",20,0)+IF($J49&lt;=0,15,IF($J49=1,8,0))))</f>
        <v/>
      </c>
      <c r="M49" s="20" t="str">
        <f aca="false">IF('Fragrance Projects'!A49="","",'Fragrance Projects'!AK49)</f>
        <v/>
      </c>
    </row>
    <row r="50" customFormat="false" ht="24" hidden="false" customHeight="true" outlineLevel="0" collapsed="false">
      <c r="A50" s="37" t="str">
        <f aca="false">IF('Fragrance Projects'!A50="","",'Fragrance Projects'!A50)</f>
        <v/>
      </c>
      <c r="B50" s="37" t="str">
        <f aca="false">IF('Fragrance Projects'!A50="","",'Fragrance Projects'!C50)</f>
        <v/>
      </c>
      <c r="C50" s="37" t="str">
        <f aca="false">IF('Fragrance Projects'!A50="","",'Fragrance Projects'!D50)</f>
        <v/>
      </c>
      <c r="D50" s="20" t="str">
        <f aca="false">IF('Fragrance Projects'!A50="","",'Fragrance Projects'!I50)</f>
        <v/>
      </c>
      <c r="E50" s="20" t="str">
        <f aca="false">IF('Fragrance Projects'!A50="","",'Fragrance Projects'!H50)</f>
        <v/>
      </c>
      <c r="F50" s="44" t="str">
        <f aca="false">IF('Fragrance Projects'!A50="","",'Fragrance Projects'!F50)</f>
        <v/>
      </c>
      <c r="G50" s="20" t="str">
        <f aca="false">IF('Fragrance Projects'!A50="","",'Fragrance Projects'!G50)</f>
        <v/>
      </c>
      <c r="H50" s="19" t="str">
        <f aca="false">IF('Fragrance Projects'!A50="","",'Fragrance Projects'!P50)</f>
        <v/>
      </c>
      <c r="I50" s="30"/>
      <c r="J50" s="20" t="str">
        <f aca="false">IF('Fragrance Projects'!A50="","",'Fragrance Projects'!M50)</f>
        <v/>
      </c>
      <c r="K50" s="20" t="str">
        <f aca="false">IF('Fragrance Projects'!A50="","",'Fragrance Projects'!O50)</f>
        <v/>
      </c>
      <c r="L50" s="20" t="str">
        <f aca="false">IF($A50="","",IF($E50="Complete",0,_xlfn.IFS($G50&lt;0,40,$G50&lt;=3,35,$G50&lt;=7,25,$G50&lt;=14,15,$G50&lt;=30,8,TRUE(),0)+_xlfn.IFS($D50="Urgent",25,$D50="High",18,$D50="Normal",10,$D50="Low",5,TRUE(),0)+IF($K50="Us",20,0)+IF($J50&lt;=0,15,IF($J50=1,8,0))))</f>
        <v/>
      </c>
      <c r="M50" s="20" t="str">
        <f aca="false">IF('Fragrance Projects'!A50="","",'Fragrance Projects'!AK50)</f>
        <v/>
      </c>
    </row>
    <row r="51" customFormat="false" ht="24" hidden="false" customHeight="true" outlineLevel="0" collapsed="false">
      <c r="A51" s="37" t="str">
        <f aca="false">IF('Fragrance Projects'!A51="","",'Fragrance Projects'!A51)</f>
        <v/>
      </c>
      <c r="B51" s="37" t="str">
        <f aca="false">IF('Fragrance Projects'!A51="","",'Fragrance Projects'!C51)</f>
        <v/>
      </c>
      <c r="C51" s="37" t="str">
        <f aca="false">IF('Fragrance Projects'!A51="","",'Fragrance Projects'!D51)</f>
        <v/>
      </c>
      <c r="D51" s="20" t="str">
        <f aca="false">IF('Fragrance Projects'!A51="","",'Fragrance Projects'!I51)</f>
        <v/>
      </c>
      <c r="E51" s="20" t="str">
        <f aca="false">IF('Fragrance Projects'!A51="","",'Fragrance Projects'!H51)</f>
        <v/>
      </c>
      <c r="F51" s="44" t="str">
        <f aca="false">IF('Fragrance Projects'!A51="","",'Fragrance Projects'!F51)</f>
        <v/>
      </c>
      <c r="G51" s="20" t="str">
        <f aca="false">IF('Fragrance Projects'!A51="","",'Fragrance Projects'!G51)</f>
        <v/>
      </c>
      <c r="H51" s="19" t="str">
        <f aca="false">IF('Fragrance Projects'!A51="","",'Fragrance Projects'!P51)</f>
        <v/>
      </c>
      <c r="I51" s="30"/>
      <c r="J51" s="20" t="str">
        <f aca="false">IF('Fragrance Projects'!A51="","",'Fragrance Projects'!M51)</f>
        <v/>
      </c>
      <c r="K51" s="20" t="str">
        <f aca="false">IF('Fragrance Projects'!A51="","",'Fragrance Projects'!O51)</f>
        <v/>
      </c>
      <c r="L51" s="20" t="str">
        <f aca="false">IF($A51="","",IF($E51="Complete",0,_xlfn.IFS($G51&lt;0,40,$G51&lt;=3,35,$G51&lt;=7,25,$G51&lt;=14,15,$G51&lt;=30,8,TRUE(),0)+_xlfn.IFS($D51="Urgent",25,$D51="High",18,$D51="Normal",10,$D51="Low",5,TRUE(),0)+IF($K51="Us",20,0)+IF($J51&lt;=0,15,IF($J51=1,8,0))))</f>
        <v/>
      </c>
      <c r="M51" s="20" t="str">
        <f aca="false">IF('Fragrance Projects'!A51="","",'Fragrance Projects'!AK51)</f>
        <v/>
      </c>
    </row>
    <row r="52" customFormat="false" ht="24" hidden="false" customHeight="true" outlineLevel="0" collapsed="false">
      <c r="A52" s="37" t="str">
        <f aca="false">IF('Fragrance Projects'!A52="","",'Fragrance Projects'!A52)</f>
        <v/>
      </c>
      <c r="B52" s="37" t="str">
        <f aca="false">IF('Fragrance Projects'!A52="","",'Fragrance Projects'!C52)</f>
        <v/>
      </c>
      <c r="C52" s="37" t="str">
        <f aca="false">IF('Fragrance Projects'!A52="","",'Fragrance Projects'!D52)</f>
        <v/>
      </c>
      <c r="D52" s="20" t="str">
        <f aca="false">IF('Fragrance Projects'!A52="","",'Fragrance Projects'!I52)</f>
        <v/>
      </c>
      <c r="E52" s="20" t="str">
        <f aca="false">IF('Fragrance Projects'!A52="","",'Fragrance Projects'!H52)</f>
        <v/>
      </c>
      <c r="F52" s="44" t="str">
        <f aca="false">IF('Fragrance Projects'!A52="","",'Fragrance Projects'!F52)</f>
        <v/>
      </c>
      <c r="G52" s="20" t="str">
        <f aca="false">IF('Fragrance Projects'!A52="","",'Fragrance Projects'!G52)</f>
        <v/>
      </c>
      <c r="H52" s="19" t="str">
        <f aca="false">IF('Fragrance Projects'!A52="","",'Fragrance Projects'!P52)</f>
        <v/>
      </c>
      <c r="I52" s="30"/>
      <c r="J52" s="20" t="str">
        <f aca="false">IF('Fragrance Projects'!A52="","",'Fragrance Projects'!M52)</f>
        <v/>
      </c>
      <c r="K52" s="20" t="str">
        <f aca="false">IF('Fragrance Projects'!A52="","",'Fragrance Projects'!O52)</f>
        <v/>
      </c>
      <c r="L52" s="20" t="str">
        <f aca="false">IF($A52="","",IF($E52="Complete",0,_xlfn.IFS($G52&lt;0,40,$G52&lt;=3,35,$G52&lt;=7,25,$G52&lt;=14,15,$G52&lt;=30,8,TRUE(),0)+_xlfn.IFS($D52="Urgent",25,$D52="High",18,$D52="Normal",10,$D52="Low",5,TRUE(),0)+IF($K52="Us",20,0)+IF($J52&lt;=0,15,IF($J52=1,8,0))))</f>
        <v/>
      </c>
      <c r="M52" s="20" t="str">
        <f aca="false">IF('Fragrance Projects'!A52="","",'Fragrance Projects'!AK52)</f>
        <v/>
      </c>
    </row>
    <row r="53" customFormat="false" ht="24" hidden="false" customHeight="true" outlineLevel="0" collapsed="false">
      <c r="A53" s="37" t="str">
        <f aca="false">IF('Fragrance Projects'!A53="","",'Fragrance Projects'!A53)</f>
        <v/>
      </c>
      <c r="B53" s="37" t="str">
        <f aca="false">IF('Fragrance Projects'!A53="","",'Fragrance Projects'!C53)</f>
        <v/>
      </c>
      <c r="C53" s="37" t="str">
        <f aca="false">IF('Fragrance Projects'!A53="","",'Fragrance Projects'!D53)</f>
        <v/>
      </c>
      <c r="D53" s="20" t="str">
        <f aca="false">IF('Fragrance Projects'!A53="","",'Fragrance Projects'!I53)</f>
        <v/>
      </c>
      <c r="E53" s="20" t="str">
        <f aca="false">IF('Fragrance Projects'!A53="","",'Fragrance Projects'!H53)</f>
        <v/>
      </c>
      <c r="F53" s="44" t="str">
        <f aca="false">IF('Fragrance Projects'!A53="","",'Fragrance Projects'!F53)</f>
        <v/>
      </c>
      <c r="G53" s="20" t="str">
        <f aca="false">IF('Fragrance Projects'!A53="","",'Fragrance Projects'!G53)</f>
        <v/>
      </c>
      <c r="H53" s="19" t="str">
        <f aca="false">IF('Fragrance Projects'!A53="","",'Fragrance Projects'!P53)</f>
        <v/>
      </c>
      <c r="I53" s="30"/>
      <c r="J53" s="20" t="str">
        <f aca="false">IF('Fragrance Projects'!A53="","",'Fragrance Projects'!M53)</f>
        <v/>
      </c>
      <c r="K53" s="20" t="str">
        <f aca="false">IF('Fragrance Projects'!A53="","",'Fragrance Projects'!O53)</f>
        <v/>
      </c>
      <c r="L53" s="20" t="str">
        <f aca="false">IF($A53="","",IF($E53="Complete",0,_xlfn.IFS($G53&lt;0,40,$G53&lt;=3,35,$G53&lt;=7,25,$G53&lt;=14,15,$G53&lt;=30,8,TRUE(),0)+_xlfn.IFS($D53="Urgent",25,$D53="High",18,$D53="Normal",10,$D53="Low",5,TRUE(),0)+IF($K53="Us",20,0)+IF($J53&lt;=0,15,IF($J53=1,8,0))))</f>
        <v/>
      </c>
      <c r="M53" s="20" t="str">
        <f aca="false">IF('Fragrance Projects'!A53="","",'Fragrance Projects'!AK53)</f>
        <v/>
      </c>
    </row>
    <row r="54" customFormat="false" ht="24" hidden="false" customHeight="true" outlineLevel="0" collapsed="false">
      <c r="A54" s="37" t="str">
        <f aca="false">IF('Fragrance Projects'!A54="","",'Fragrance Projects'!A54)</f>
        <v/>
      </c>
      <c r="B54" s="37" t="str">
        <f aca="false">IF('Fragrance Projects'!A54="","",'Fragrance Projects'!C54)</f>
        <v/>
      </c>
      <c r="C54" s="37" t="str">
        <f aca="false">IF('Fragrance Projects'!A54="","",'Fragrance Projects'!D54)</f>
        <v/>
      </c>
      <c r="D54" s="20" t="str">
        <f aca="false">IF('Fragrance Projects'!A54="","",'Fragrance Projects'!I54)</f>
        <v/>
      </c>
      <c r="E54" s="20" t="str">
        <f aca="false">IF('Fragrance Projects'!A54="","",'Fragrance Projects'!H54)</f>
        <v/>
      </c>
      <c r="F54" s="44" t="str">
        <f aca="false">IF('Fragrance Projects'!A54="","",'Fragrance Projects'!F54)</f>
        <v/>
      </c>
      <c r="G54" s="20" t="str">
        <f aca="false">IF('Fragrance Projects'!A54="","",'Fragrance Projects'!G54)</f>
        <v/>
      </c>
      <c r="H54" s="19" t="str">
        <f aca="false">IF('Fragrance Projects'!A54="","",'Fragrance Projects'!P54)</f>
        <v/>
      </c>
      <c r="I54" s="30"/>
      <c r="J54" s="20" t="str">
        <f aca="false">IF('Fragrance Projects'!A54="","",'Fragrance Projects'!M54)</f>
        <v/>
      </c>
      <c r="K54" s="20" t="str">
        <f aca="false">IF('Fragrance Projects'!A54="","",'Fragrance Projects'!O54)</f>
        <v/>
      </c>
      <c r="L54" s="20" t="str">
        <f aca="false">IF($A54="","",IF($E54="Complete",0,_xlfn.IFS($G54&lt;0,40,$G54&lt;=3,35,$G54&lt;=7,25,$G54&lt;=14,15,$G54&lt;=30,8,TRUE(),0)+_xlfn.IFS($D54="Urgent",25,$D54="High",18,$D54="Normal",10,$D54="Low",5,TRUE(),0)+IF($K54="Us",20,0)+IF($J54&lt;=0,15,IF($J54=1,8,0))))</f>
        <v/>
      </c>
      <c r="M54" s="20" t="str">
        <f aca="false">IF('Fragrance Projects'!A54="","",'Fragrance Projects'!AK54)</f>
        <v/>
      </c>
    </row>
    <row r="55" customFormat="false" ht="24" hidden="false" customHeight="true" outlineLevel="0" collapsed="false">
      <c r="A55" s="37" t="str">
        <f aca="false">IF('Fragrance Projects'!A55="","",'Fragrance Projects'!A55)</f>
        <v/>
      </c>
      <c r="B55" s="37" t="str">
        <f aca="false">IF('Fragrance Projects'!A55="","",'Fragrance Projects'!C55)</f>
        <v/>
      </c>
      <c r="C55" s="37" t="str">
        <f aca="false">IF('Fragrance Projects'!A55="","",'Fragrance Projects'!D55)</f>
        <v/>
      </c>
      <c r="D55" s="20" t="str">
        <f aca="false">IF('Fragrance Projects'!A55="","",'Fragrance Projects'!I55)</f>
        <v/>
      </c>
      <c r="E55" s="20" t="str">
        <f aca="false">IF('Fragrance Projects'!A55="","",'Fragrance Projects'!H55)</f>
        <v/>
      </c>
      <c r="F55" s="44" t="str">
        <f aca="false">IF('Fragrance Projects'!A55="","",'Fragrance Projects'!F55)</f>
        <v/>
      </c>
      <c r="G55" s="20" t="str">
        <f aca="false">IF('Fragrance Projects'!A55="","",'Fragrance Projects'!G55)</f>
        <v/>
      </c>
      <c r="H55" s="19" t="str">
        <f aca="false">IF('Fragrance Projects'!A55="","",'Fragrance Projects'!P55)</f>
        <v/>
      </c>
      <c r="I55" s="30"/>
      <c r="J55" s="20" t="str">
        <f aca="false">IF('Fragrance Projects'!A55="","",'Fragrance Projects'!M55)</f>
        <v/>
      </c>
      <c r="K55" s="20" t="str">
        <f aca="false">IF('Fragrance Projects'!A55="","",'Fragrance Projects'!O55)</f>
        <v/>
      </c>
      <c r="L55" s="20" t="str">
        <f aca="false">IF($A55="","",IF($E55="Complete",0,_xlfn.IFS($G55&lt;0,40,$G55&lt;=3,35,$G55&lt;=7,25,$G55&lt;=14,15,$G55&lt;=30,8,TRUE(),0)+_xlfn.IFS($D55="Urgent",25,$D55="High",18,$D55="Normal",10,$D55="Low",5,TRUE(),0)+IF($K55="Us",20,0)+IF($J55&lt;=0,15,IF($J55=1,8,0))))</f>
        <v/>
      </c>
      <c r="M55" s="20" t="str">
        <f aca="false">IF('Fragrance Projects'!A55="","",'Fragrance Projects'!AK55)</f>
        <v/>
      </c>
    </row>
    <row r="56" customFormat="false" ht="24" hidden="false" customHeight="true" outlineLevel="0" collapsed="false">
      <c r="A56" s="37" t="str">
        <f aca="false">IF('Fragrance Projects'!A56="","",'Fragrance Projects'!A56)</f>
        <v/>
      </c>
      <c r="B56" s="37" t="str">
        <f aca="false">IF('Fragrance Projects'!A56="","",'Fragrance Projects'!C56)</f>
        <v/>
      </c>
      <c r="C56" s="37" t="str">
        <f aca="false">IF('Fragrance Projects'!A56="","",'Fragrance Projects'!D56)</f>
        <v/>
      </c>
      <c r="D56" s="20" t="str">
        <f aca="false">IF('Fragrance Projects'!A56="","",'Fragrance Projects'!I56)</f>
        <v/>
      </c>
      <c r="E56" s="20" t="str">
        <f aca="false">IF('Fragrance Projects'!A56="","",'Fragrance Projects'!H56)</f>
        <v/>
      </c>
      <c r="F56" s="44" t="str">
        <f aca="false">IF('Fragrance Projects'!A56="","",'Fragrance Projects'!F56)</f>
        <v/>
      </c>
      <c r="G56" s="20" t="str">
        <f aca="false">IF('Fragrance Projects'!A56="","",'Fragrance Projects'!G56)</f>
        <v/>
      </c>
      <c r="H56" s="19" t="str">
        <f aca="false">IF('Fragrance Projects'!A56="","",'Fragrance Projects'!P56)</f>
        <v/>
      </c>
      <c r="I56" s="30"/>
      <c r="J56" s="20" t="str">
        <f aca="false">IF('Fragrance Projects'!A56="","",'Fragrance Projects'!M56)</f>
        <v/>
      </c>
      <c r="K56" s="20" t="str">
        <f aca="false">IF('Fragrance Projects'!A56="","",'Fragrance Projects'!O56)</f>
        <v/>
      </c>
      <c r="L56" s="20" t="str">
        <f aca="false">IF($A56="","",IF($E56="Complete",0,_xlfn.IFS($G56&lt;0,40,$G56&lt;=3,35,$G56&lt;=7,25,$G56&lt;=14,15,$G56&lt;=30,8,TRUE(),0)+_xlfn.IFS($D56="Urgent",25,$D56="High",18,$D56="Normal",10,$D56="Low",5,TRUE(),0)+IF($K56="Us",20,0)+IF($J56&lt;=0,15,IF($J56=1,8,0))))</f>
        <v/>
      </c>
      <c r="M56" s="20" t="str">
        <f aca="false">IF('Fragrance Projects'!A56="","",'Fragrance Projects'!AK56)</f>
        <v/>
      </c>
    </row>
    <row r="57" customFormat="false" ht="24" hidden="false" customHeight="true" outlineLevel="0" collapsed="false">
      <c r="A57" s="37" t="str">
        <f aca="false">IF('Fragrance Projects'!A57="","",'Fragrance Projects'!A57)</f>
        <v/>
      </c>
      <c r="B57" s="37" t="str">
        <f aca="false">IF('Fragrance Projects'!A57="","",'Fragrance Projects'!C57)</f>
        <v/>
      </c>
      <c r="C57" s="37" t="str">
        <f aca="false">IF('Fragrance Projects'!A57="","",'Fragrance Projects'!D57)</f>
        <v/>
      </c>
      <c r="D57" s="20" t="str">
        <f aca="false">IF('Fragrance Projects'!A57="","",'Fragrance Projects'!I57)</f>
        <v/>
      </c>
      <c r="E57" s="20" t="str">
        <f aca="false">IF('Fragrance Projects'!A57="","",'Fragrance Projects'!H57)</f>
        <v/>
      </c>
      <c r="F57" s="44" t="str">
        <f aca="false">IF('Fragrance Projects'!A57="","",'Fragrance Projects'!F57)</f>
        <v/>
      </c>
      <c r="G57" s="20" t="str">
        <f aca="false">IF('Fragrance Projects'!A57="","",'Fragrance Projects'!G57)</f>
        <v/>
      </c>
      <c r="H57" s="19" t="str">
        <f aca="false">IF('Fragrance Projects'!A57="","",'Fragrance Projects'!P57)</f>
        <v/>
      </c>
      <c r="I57" s="30"/>
      <c r="J57" s="20" t="str">
        <f aca="false">IF('Fragrance Projects'!A57="","",'Fragrance Projects'!M57)</f>
        <v/>
      </c>
      <c r="K57" s="20" t="str">
        <f aca="false">IF('Fragrance Projects'!A57="","",'Fragrance Projects'!O57)</f>
        <v/>
      </c>
      <c r="L57" s="20" t="str">
        <f aca="false">IF($A57="","",IF($E57="Complete",0,_xlfn.IFS($G57&lt;0,40,$G57&lt;=3,35,$G57&lt;=7,25,$G57&lt;=14,15,$G57&lt;=30,8,TRUE(),0)+_xlfn.IFS($D57="Urgent",25,$D57="High",18,$D57="Normal",10,$D57="Low",5,TRUE(),0)+IF($K57="Us",20,0)+IF($J57&lt;=0,15,IF($J57=1,8,0))))</f>
        <v/>
      </c>
      <c r="M57" s="20" t="str">
        <f aca="false">IF('Fragrance Projects'!A57="","",'Fragrance Projects'!AK57)</f>
        <v/>
      </c>
    </row>
    <row r="58" customFormat="false" ht="24" hidden="false" customHeight="true" outlineLevel="0" collapsed="false">
      <c r="A58" s="37" t="str">
        <f aca="false">IF('Fragrance Projects'!A58="","",'Fragrance Projects'!A58)</f>
        <v/>
      </c>
      <c r="B58" s="37" t="str">
        <f aca="false">IF('Fragrance Projects'!A58="","",'Fragrance Projects'!C58)</f>
        <v/>
      </c>
      <c r="C58" s="37" t="str">
        <f aca="false">IF('Fragrance Projects'!A58="","",'Fragrance Projects'!D58)</f>
        <v/>
      </c>
      <c r="D58" s="20" t="str">
        <f aca="false">IF('Fragrance Projects'!A58="","",'Fragrance Projects'!I58)</f>
        <v/>
      </c>
      <c r="E58" s="20" t="str">
        <f aca="false">IF('Fragrance Projects'!A58="","",'Fragrance Projects'!H58)</f>
        <v/>
      </c>
      <c r="F58" s="44" t="str">
        <f aca="false">IF('Fragrance Projects'!A58="","",'Fragrance Projects'!F58)</f>
        <v/>
      </c>
      <c r="G58" s="20" t="str">
        <f aca="false">IF('Fragrance Projects'!A58="","",'Fragrance Projects'!G58)</f>
        <v/>
      </c>
      <c r="H58" s="19" t="str">
        <f aca="false">IF('Fragrance Projects'!A58="","",'Fragrance Projects'!P58)</f>
        <v/>
      </c>
      <c r="I58" s="30"/>
      <c r="J58" s="20" t="str">
        <f aca="false">IF('Fragrance Projects'!A58="","",'Fragrance Projects'!M58)</f>
        <v/>
      </c>
      <c r="K58" s="20" t="str">
        <f aca="false">IF('Fragrance Projects'!A58="","",'Fragrance Projects'!O58)</f>
        <v/>
      </c>
      <c r="L58" s="20" t="str">
        <f aca="false">IF($A58="","",IF($E58="Complete",0,_xlfn.IFS($G58&lt;0,40,$G58&lt;=3,35,$G58&lt;=7,25,$G58&lt;=14,15,$G58&lt;=30,8,TRUE(),0)+_xlfn.IFS($D58="Urgent",25,$D58="High",18,$D58="Normal",10,$D58="Low",5,TRUE(),0)+IF($K58="Us",20,0)+IF($J58&lt;=0,15,IF($J58=1,8,0))))</f>
        <v/>
      </c>
      <c r="M58" s="20" t="str">
        <f aca="false">IF('Fragrance Projects'!A58="","",'Fragrance Projects'!AK58)</f>
        <v/>
      </c>
    </row>
    <row r="59" customFormat="false" ht="24" hidden="false" customHeight="true" outlineLevel="0" collapsed="false">
      <c r="A59" s="37" t="str">
        <f aca="false">IF('Fragrance Projects'!A59="","",'Fragrance Projects'!A59)</f>
        <v/>
      </c>
      <c r="B59" s="37" t="str">
        <f aca="false">IF('Fragrance Projects'!A59="","",'Fragrance Projects'!C59)</f>
        <v/>
      </c>
      <c r="C59" s="37" t="str">
        <f aca="false">IF('Fragrance Projects'!A59="","",'Fragrance Projects'!D59)</f>
        <v/>
      </c>
      <c r="D59" s="20" t="str">
        <f aca="false">IF('Fragrance Projects'!A59="","",'Fragrance Projects'!I59)</f>
        <v/>
      </c>
      <c r="E59" s="20" t="str">
        <f aca="false">IF('Fragrance Projects'!A59="","",'Fragrance Projects'!H59)</f>
        <v/>
      </c>
      <c r="F59" s="44" t="str">
        <f aca="false">IF('Fragrance Projects'!A59="","",'Fragrance Projects'!F59)</f>
        <v/>
      </c>
      <c r="G59" s="20" t="str">
        <f aca="false">IF('Fragrance Projects'!A59="","",'Fragrance Projects'!G59)</f>
        <v/>
      </c>
      <c r="H59" s="19" t="str">
        <f aca="false">IF('Fragrance Projects'!A59="","",'Fragrance Projects'!P59)</f>
        <v/>
      </c>
      <c r="I59" s="30"/>
      <c r="J59" s="20" t="str">
        <f aca="false">IF('Fragrance Projects'!A59="","",'Fragrance Projects'!M59)</f>
        <v/>
      </c>
      <c r="K59" s="20" t="str">
        <f aca="false">IF('Fragrance Projects'!A59="","",'Fragrance Projects'!O59)</f>
        <v/>
      </c>
      <c r="L59" s="20" t="str">
        <f aca="false">IF($A59="","",IF($E59="Complete",0,_xlfn.IFS($G59&lt;0,40,$G59&lt;=3,35,$G59&lt;=7,25,$G59&lt;=14,15,$G59&lt;=30,8,TRUE(),0)+_xlfn.IFS($D59="Urgent",25,$D59="High",18,$D59="Normal",10,$D59="Low",5,TRUE(),0)+IF($K59="Us",20,0)+IF($J59&lt;=0,15,IF($J59=1,8,0))))</f>
        <v/>
      </c>
      <c r="M59" s="20" t="str">
        <f aca="false">IF('Fragrance Projects'!A59="","",'Fragrance Projects'!AK59)</f>
        <v/>
      </c>
    </row>
    <row r="60" customFormat="false" ht="24" hidden="false" customHeight="true" outlineLevel="0" collapsed="false">
      <c r="A60" s="37" t="str">
        <f aca="false">IF('Fragrance Projects'!A60="","",'Fragrance Projects'!A60)</f>
        <v/>
      </c>
      <c r="B60" s="37" t="str">
        <f aca="false">IF('Fragrance Projects'!A60="","",'Fragrance Projects'!C60)</f>
        <v/>
      </c>
      <c r="C60" s="37" t="str">
        <f aca="false">IF('Fragrance Projects'!A60="","",'Fragrance Projects'!D60)</f>
        <v/>
      </c>
      <c r="D60" s="20" t="str">
        <f aca="false">IF('Fragrance Projects'!A60="","",'Fragrance Projects'!I60)</f>
        <v/>
      </c>
      <c r="E60" s="20" t="str">
        <f aca="false">IF('Fragrance Projects'!A60="","",'Fragrance Projects'!H60)</f>
        <v/>
      </c>
      <c r="F60" s="44" t="str">
        <f aca="false">IF('Fragrance Projects'!A60="","",'Fragrance Projects'!F60)</f>
        <v/>
      </c>
      <c r="G60" s="20" t="str">
        <f aca="false">IF('Fragrance Projects'!A60="","",'Fragrance Projects'!G60)</f>
        <v/>
      </c>
      <c r="H60" s="19" t="str">
        <f aca="false">IF('Fragrance Projects'!A60="","",'Fragrance Projects'!P60)</f>
        <v/>
      </c>
      <c r="I60" s="30"/>
      <c r="J60" s="20" t="str">
        <f aca="false">IF('Fragrance Projects'!A60="","",'Fragrance Projects'!M60)</f>
        <v/>
      </c>
      <c r="K60" s="20" t="str">
        <f aca="false">IF('Fragrance Projects'!A60="","",'Fragrance Projects'!O60)</f>
        <v/>
      </c>
      <c r="L60" s="20" t="str">
        <f aca="false">IF($A60="","",IF($E60="Complete",0,_xlfn.IFS($G60&lt;0,40,$G60&lt;=3,35,$G60&lt;=7,25,$G60&lt;=14,15,$G60&lt;=30,8,TRUE(),0)+_xlfn.IFS($D60="Urgent",25,$D60="High",18,$D60="Normal",10,$D60="Low",5,TRUE(),0)+IF($K60="Us",20,0)+IF($J60&lt;=0,15,IF($J60=1,8,0))))</f>
        <v/>
      </c>
      <c r="M60" s="20" t="str">
        <f aca="false">IF('Fragrance Projects'!A60="","",'Fragrance Projects'!AK60)</f>
        <v/>
      </c>
    </row>
    <row r="61" customFormat="false" ht="24" hidden="false" customHeight="true" outlineLevel="0" collapsed="false">
      <c r="A61" s="37" t="str">
        <f aca="false">IF('Fragrance Projects'!A61="","",'Fragrance Projects'!A61)</f>
        <v/>
      </c>
      <c r="B61" s="37" t="str">
        <f aca="false">IF('Fragrance Projects'!A61="","",'Fragrance Projects'!C61)</f>
        <v/>
      </c>
      <c r="C61" s="37" t="str">
        <f aca="false">IF('Fragrance Projects'!A61="","",'Fragrance Projects'!D61)</f>
        <v/>
      </c>
      <c r="D61" s="20" t="str">
        <f aca="false">IF('Fragrance Projects'!A61="","",'Fragrance Projects'!I61)</f>
        <v/>
      </c>
      <c r="E61" s="20" t="str">
        <f aca="false">IF('Fragrance Projects'!A61="","",'Fragrance Projects'!H61)</f>
        <v/>
      </c>
      <c r="F61" s="44" t="str">
        <f aca="false">IF('Fragrance Projects'!A61="","",'Fragrance Projects'!F61)</f>
        <v/>
      </c>
      <c r="G61" s="20" t="str">
        <f aca="false">IF('Fragrance Projects'!A61="","",'Fragrance Projects'!G61)</f>
        <v/>
      </c>
      <c r="H61" s="19" t="str">
        <f aca="false">IF('Fragrance Projects'!A61="","",'Fragrance Projects'!P61)</f>
        <v/>
      </c>
      <c r="I61" s="30"/>
      <c r="J61" s="20" t="str">
        <f aca="false">IF('Fragrance Projects'!A61="","",'Fragrance Projects'!M61)</f>
        <v/>
      </c>
      <c r="K61" s="20" t="str">
        <f aca="false">IF('Fragrance Projects'!A61="","",'Fragrance Projects'!O61)</f>
        <v/>
      </c>
      <c r="L61" s="20" t="str">
        <f aca="false">IF($A61="","",IF($E61="Complete",0,_xlfn.IFS($G61&lt;0,40,$G61&lt;=3,35,$G61&lt;=7,25,$G61&lt;=14,15,$G61&lt;=30,8,TRUE(),0)+_xlfn.IFS($D61="Urgent",25,$D61="High",18,$D61="Normal",10,$D61="Low",5,TRUE(),0)+IF($K61="Us",20,0)+IF($J61&lt;=0,15,IF($J61=1,8,0))))</f>
        <v/>
      </c>
      <c r="M61" s="20" t="str">
        <f aca="false">IF('Fragrance Projects'!A61="","",'Fragrance Projects'!AK61)</f>
        <v/>
      </c>
    </row>
    <row r="62" customFormat="false" ht="24" hidden="false" customHeight="true" outlineLevel="0" collapsed="false">
      <c r="A62" s="37" t="str">
        <f aca="false">IF('Fragrance Projects'!A62="","",'Fragrance Projects'!A62)</f>
        <v/>
      </c>
      <c r="B62" s="37" t="str">
        <f aca="false">IF('Fragrance Projects'!A62="","",'Fragrance Projects'!C62)</f>
        <v/>
      </c>
      <c r="C62" s="37" t="str">
        <f aca="false">IF('Fragrance Projects'!A62="","",'Fragrance Projects'!D62)</f>
        <v/>
      </c>
      <c r="D62" s="20" t="str">
        <f aca="false">IF('Fragrance Projects'!A62="","",'Fragrance Projects'!I62)</f>
        <v/>
      </c>
      <c r="E62" s="20" t="str">
        <f aca="false">IF('Fragrance Projects'!A62="","",'Fragrance Projects'!H62)</f>
        <v/>
      </c>
      <c r="F62" s="44" t="str">
        <f aca="false">IF('Fragrance Projects'!A62="","",'Fragrance Projects'!F62)</f>
        <v/>
      </c>
      <c r="G62" s="20" t="str">
        <f aca="false">IF('Fragrance Projects'!A62="","",'Fragrance Projects'!G62)</f>
        <v/>
      </c>
      <c r="H62" s="19" t="str">
        <f aca="false">IF('Fragrance Projects'!A62="","",'Fragrance Projects'!P62)</f>
        <v/>
      </c>
      <c r="I62" s="30"/>
      <c r="J62" s="20" t="str">
        <f aca="false">IF('Fragrance Projects'!A62="","",'Fragrance Projects'!M62)</f>
        <v/>
      </c>
      <c r="K62" s="20" t="str">
        <f aca="false">IF('Fragrance Projects'!A62="","",'Fragrance Projects'!O62)</f>
        <v/>
      </c>
      <c r="L62" s="20" t="str">
        <f aca="false">IF($A62="","",IF($E62="Complete",0,_xlfn.IFS($G62&lt;0,40,$G62&lt;=3,35,$G62&lt;=7,25,$G62&lt;=14,15,$G62&lt;=30,8,TRUE(),0)+_xlfn.IFS($D62="Urgent",25,$D62="High",18,$D62="Normal",10,$D62="Low",5,TRUE(),0)+IF($K62="Us",20,0)+IF($J62&lt;=0,15,IF($J62=1,8,0))))</f>
        <v/>
      </c>
      <c r="M62" s="20" t="str">
        <f aca="false">IF('Fragrance Projects'!A62="","",'Fragrance Projects'!AK62)</f>
        <v/>
      </c>
    </row>
    <row r="63" customFormat="false" ht="24" hidden="false" customHeight="true" outlineLevel="0" collapsed="false">
      <c r="A63" s="37" t="str">
        <f aca="false">IF('Fragrance Projects'!A63="","",'Fragrance Projects'!A63)</f>
        <v/>
      </c>
      <c r="B63" s="37" t="str">
        <f aca="false">IF('Fragrance Projects'!A63="","",'Fragrance Projects'!C63)</f>
        <v/>
      </c>
      <c r="C63" s="37" t="str">
        <f aca="false">IF('Fragrance Projects'!A63="","",'Fragrance Projects'!D63)</f>
        <v/>
      </c>
      <c r="D63" s="20" t="str">
        <f aca="false">IF('Fragrance Projects'!A63="","",'Fragrance Projects'!I63)</f>
        <v/>
      </c>
      <c r="E63" s="20" t="str">
        <f aca="false">IF('Fragrance Projects'!A63="","",'Fragrance Projects'!H63)</f>
        <v/>
      </c>
      <c r="F63" s="44" t="str">
        <f aca="false">IF('Fragrance Projects'!A63="","",'Fragrance Projects'!F63)</f>
        <v/>
      </c>
      <c r="G63" s="20" t="str">
        <f aca="false">IF('Fragrance Projects'!A63="","",'Fragrance Projects'!G63)</f>
        <v/>
      </c>
      <c r="H63" s="19" t="str">
        <f aca="false">IF('Fragrance Projects'!A63="","",'Fragrance Projects'!P63)</f>
        <v/>
      </c>
      <c r="I63" s="30"/>
      <c r="J63" s="20" t="str">
        <f aca="false">IF('Fragrance Projects'!A63="","",'Fragrance Projects'!M63)</f>
        <v/>
      </c>
      <c r="K63" s="20" t="str">
        <f aca="false">IF('Fragrance Projects'!A63="","",'Fragrance Projects'!O63)</f>
        <v/>
      </c>
      <c r="L63" s="20" t="str">
        <f aca="false">IF($A63="","",IF($E63="Complete",0,_xlfn.IFS($G63&lt;0,40,$G63&lt;=3,35,$G63&lt;=7,25,$G63&lt;=14,15,$G63&lt;=30,8,TRUE(),0)+_xlfn.IFS($D63="Urgent",25,$D63="High",18,$D63="Normal",10,$D63="Low",5,TRUE(),0)+IF($K63="Us",20,0)+IF($J63&lt;=0,15,IF($J63=1,8,0))))</f>
        <v/>
      </c>
      <c r="M63" s="20" t="str">
        <f aca="false">IF('Fragrance Projects'!A63="","",'Fragrance Projects'!AK63)</f>
        <v/>
      </c>
    </row>
    <row r="64" customFormat="false" ht="24" hidden="false" customHeight="true" outlineLevel="0" collapsed="false">
      <c r="A64" s="37" t="str">
        <f aca="false">IF('Fragrance Projects'!A64="","",'Fragrance Projects'!A64)</f>
        <v/>
      </c>
      <c r="B64" s="37" t="str">
        <f aca="false">IF('Fragrance Projects'!A64="","",'Fragrance Projects'!C64)</f>
        <v/>
      </c>
      <c r="C64" s="37" t="str">
        <f aca="false">IF('Fragrance Projects'!A64="","",'Fragrance Projects'!D64)</f>
        <v/>
      </c>
      <c r="D64" s="20" t="str">
        <f aca="false">IF('Fragrance Projects'!A64="","",'Fragrance Projects'!I64)</f>
        <v/>
      </c>
      <c r="E64" s="20" t="str">
        <f aca="false">IF('Fragrance Projects'!A64="","",'Fragrance Projects'!H64)</f>
        <v/>
      </c>
      <c r="F64" s="44" t="str">
        <f aca="false">IF('Fragrance Projects'!A64="","",'Fragrance Projects'!F64)</f>
        <v/>
      </c>
      <c r="G64" s="20" t="str">
        <f aca="false">IF('Fragrance Projects'!A64="","",'Fragrance Projects'!G64)</f>
        <v/>
      </c>
      <c r="H64" s="19" t="str">
        <f aca="false">IF('Fragrance Projects'!A64="","",'Fragrance Projects'!P64)</f>
        <v/>
      </c>
      <c r="I64" s="30"/>
      <c r="J64" s="20" t="str">
        <f aca="false">IF('Fragrance Projects'!A64="","",'Fragrance Projects'!M64)</f>
        <v/>
      </c>
      <c r="K64" s="20" t="str">
        <f aca="false">IF('Fragrance Projects'!A64="","",'Fragrance Projects'!O64)</f>
        <v/>
      </c>
      <c r="L64" s="20" t="str">
        <f aca="false">IF($A64="","",IF($E64="Complete",0,_xlfn.IFS($G64&lt;0,40,$G64&lt;=3,35,$G64&lt;=7,25,$G64&lt;=14,15,$G64&lt;=30,8,TRUE(),0)+_xlfn.IFS($D64="Urgent",25,$D64="High",18,$D64="Normal",10,$D64="Low",5,TRUE(),0)+IF($K64="Us",20,0)+IF($J64&lt;=0,15,IF($J64=1,8,0))))</f>
        <v/>
      </c>
      <c r="M64" s="20" t="str">
        <f aca="false">IF('Fragrance Projects'!A64="","",'Fragrance Projects'!AK64)</f>
        <v/>
      </c>
    </row>
    <row r="67" customFormat="false" ht="25.5" hidden="false" customHeight="true" outlineLevel="0" collapsed="false">
      <c r="A67" s="45" t="s">
        <v>351</v>
      </c>
      <c r="B67" s="45"/>
      <c r="C67" s="45"/>
      <c r="D67" s="45"/>
      <c r="E67" s="45"/>
      <c r="F67" s="45"/>
    </row>
    <row r="69" customFormat="false" ht="30" hidden="false" customHeight="true" outlineLevel="0" collapsed="false">
      <c r="A69" s="17" t="s">
        <v>352</v>
      </c>
      <c r="B69" s="17" t="s">
        <v>353</v>
      </c>
      <c r="C69" s="17" t="s">
        <v>354</v>
      </c>
      <c r="D69" s="17"/>
      <c r="E69" s="17"/>
      <c r="F69" s="17"/>
    </row>
    <row r="70" customFormat="false" ht="19.5" hidden="false" customHeight="true" outlineLevel="0" collapsed="false">
      <c r="A70" s="46" t="s">
        <v>355</v>
      </c>
      <c r="B70" s="20" t="n">
        <f aca="false">COUNTIFS('Fragrance Projects'!$H$5:$H$64,"Formula Development",'Fragrance Projects'!$O$5:$O$64,"Us")</f>
        <v>0</v>
      </c>
      <c r="C70" s="18" t="str">
        <f aca="false">IF(LEN(IF(LEN(IFERROR(INDEX('Fragrance Projects'!$D$5:$D$64,SUMPRODUCT(SMALL(IF((('Fragrance Projects'!$H$5:$H$64="Formula Development")*('Fragrance Projects'!$O$5:$O$64="Us")),ROW('Fragrance Projects'!$H$5:$H$64)-ROW(INDEX('Fragrance Projects'!$H$5:$H$64,1))+1),1))),""))&gt;0,IFERROR(INDEX('Fragrance Projects'!$D$5:$D$64,SUMPRODUCT(SMALL(IF((('Fragrance Projects'!$H$5:$H$64="Formula Development")*('Fragrance Projects'!$O$5:$O$64="Us")),ROW('Fragrance Projects'!$H$5:$H$64)-ROW(INDEX('Fragrance Projects'!$H$5:$H$64,1))+1),1))),"")&amp;"; ","")&amp;IF(LEN(IFERROR(INDEX('Fragrance Projects'!$D$5:$D$64,SUMPRODUCT(SMALL(IF((('Fragrance Projects'!$H$5:$H$64="Formula Development")*('Fragrance Projects'!$O$5:$O$64="Us")),ROW('Fragrance Projects'!$H$5:$H$64)-ROW(INDEX('Fragrance Projects'!$H$5:$H$64,1))+1),2))),""))&gt;0,IFERROR(INDEX('Fragrance Projects'!$D$5:$D$64,SUMPRODUCT(SMALL(IF((('Fragrance Projects'!$H$5:$H$64="Formula Development")*('Fragrance Projects'!$O$5:$O$64="Us")),ROW('Fragrance Projects'!$H$5:$H$64)-ROW(INDEX('Fragrance Projects'!$H$5:$H$64,1))+1),2))),"")&amp;"; ","")&amp;IF(LEN(IFERROR(INDEX('Fragrance Projects'!$D$5:$D$64,SUMPRODUCT(SMALL(IF((('Fragrance Projects'!$H$5:$H$64="Formula Development")*('Fragrance Projects'!$O$5:$O$64="Us")),ROW('Fragrance Projects'!$H$5:$H$64)-ROW(INDEX('Fragrance Projects'!$H$5:$H$64,1))+1),3))),""))&gt;0,IFERROR(INDEX('Fragrance Projects'!$D$5:$D$64,SUMPRODUCT(SMALL(IF((('Fragrance Projects'!$H$5:$H$64="Formula Development")*('Fragrance Projects'!$O$5:$O$64="Us")),ROW('Fragrance Projects'!$H$5:$H$64)-ROW(INDEX('Fragrance Projects'!$H$5:$H$64,1))+1),3))),"")&amp;"; ",""))=0,"",LEFT(IF(LEN(IFERROR(INDEX('Fragrance Projects'!$D$5:$D$64,SUMPRODUCT(SMALL(IF((('Fragrance Projects'!$H$5:$H$64="Formula Development")*('Fragrance Projects'!$O$5:$O$64="Us")),ROW('Fragrance Projects'!$H$5:$H$64)-ROW(INDEX('Fragrance Projects'!$H$5:$H$64,1))+1),1))),""))&gt;0,IFERROR(INDEX('Fragrance Projects'!$D$5:$D$64,SUMPRODUCT(SMALL(IF((('Fragrance Projects'!$H$5:$H$64="Formula Development")*('Fragrance Projects'!$O$5:$O$64="Us")),ROW('Fragrance Projects'!$H$5:$H$64)-ROW(INDEX('Fragrance Projects'!$H$5:$H$64,1))+1),1))),"")&amp;"; ","")&amp;IF(LEN(IFERROR(INDEX('Fragrance Projects'!$D$5:$D$64,SUMPRODUCT(SMALL(IF((('Fragrance Projects'!$H$5:$H$64="Formula Development")*('Fragrance Projects'!$O$5:$O$64="Us")),ROW('Fragrance Projects'!$H$5:$H$64)-ROW(INDEX('Fragrance Projects'!$H$5:$H$64,1))+1),2))),""))&gt;0,IFERROR(INDEX('Fragrance Projects'!$D$5:$D$64,SUMPRODUCT(SMALL(IF((('Fragrance Projects'!$H$5:$H$64="Formula Development")*('Fragrance Projects'!$O$5:$O$64="Us")),ROW('Fragrance Projects'!$H$5:$H$64)-ROW(INDEX('Fragrance Projects'!$H$5:$H$64,1))+1),2))),"")&amp;"; ","")&amp;IF(LEN(IFERROR(INDEX('Fragrance Projects'!$D$5:$D$64,SUMPRODUCT(SMALL(IF((('Fragrance Projects'!$H$5:$H$64="Formula Development")*('Fragrance Projects'!$O$5:$O$64="Us")),ROW('Fragrance Projects'!$H$5:$H$64)-ROW(INDEX('Fragrance Projects'!$H$5:$H$64,1))+1),3))),""))&gt;0,IFERROR(INDEX('Fragrance Projects'!$D$5:$D$64,SUMPRODUCT(SMALL(IF((('Fragrance Projects'!$H$5:$H$64="Formula Development")*('Fragrance Projects'!$O$5:$O$64="Us")),ROW('Fragrance Projects'!$H$5:$H$64)-ROW(INDEX('Fragrance Projects'!$H$5:$H$64,1))+1),3))),"")&amp;"; ",""),LEN(IF(LEN(IFERROR(INDEX('Fragrance Projects'!$D$5:$D$64,SUMPRODUCT(SMALL(IF((('Fragrance Projects'!$H$5:$H$64="Formula Development")*('Fragrance Projects'!$O$5:$O$64="Us")),ROW('Fragrance Projects'!$H$5:$H$64)-ROW(INDEX('Fragrance Projects'!$H$5:$H$64,1))+1),1))),""))&gt;0,IFERROR(INDEX('Fragrance Projects'!$D$5:$D$64,SUMPRODUCT(SMALL(IF((('Fragrance Projects'!$H$5:$H$64="Formula Development")*('Fragrance Projects'!$O$5:$O$64="Us")),ROW('Fragrance Projects'!$H$5:$H$64)-ROW(INDEX('Fragrance Projects'!$H$5:$H$64,1))+1),1))),"")&amp;"; ","")&amp;IF(LEN(IFERROR(INDEX('Fragrance Projects'!$D$5:$D$64,SUMPRODUCT(SMALL(IF((('Fragrance Projects'!$H$5:$H$64="Formula Development")*('Fragrance Projects'!$O$5:$O$64="Us")),ROW('Fragrance Projects'!$H$5:$H$64)-ROW(INDEX('Fragrance Projects'!$H$5:$H$64,1))+1),2))),""))&gt;0,IFERROR(INDEX('Fragrance Projects'!$D$5:$D$64,SUMPRODUCT(SMALL(IF((('Fragrance Projects'!$H$5:$H$64="Formula Development")*('Fragrance Projects'!$O$5:$O$64="Us")),ROW('Fragrance Projects'!$H$5:$H$64)-ROW(INDEX('Fragrance Projects'!$H$5:$H$64,1))+1),2))),"")&amp;"; ","")&amp;IF(LEN(IFERROR(INDEX('Fragrance Projects'!$D$5:$D$64,SUMPRODUCT(SMALL(IF((('Fragrance Projects'!$H$5:$H$64="Formula Development")*('Fragrance Projects'!$O$5:$O$64="Us")),ROW('Fragrance Projects'!$H$5:$H$64)-ROW(INDEX('Fragrance Projects'!$H$5:$H$64,1))+1),3))),""))&gt;0,IFERROR(INDEX('Fragrance Projects'!$D$5:$D$64,SUMPRODUCT(SMALL(IF((('Fragrance Projects'!$H$5:$H$64="Formula Development")*('Fragrance Projects'!$O$5:$O$64="Us")),ROW('Fragrance Projects'!$H$5:$H$64)-ROW(INDEX('Fragrance Projects'!$H$5:$H$64,1))+1),3))),"")&amp;"; ",""))-2))</f>
        <v/>
      </c>
      <c r="D70" s="18"/>
      <c r="E70" s="18"/>
      <c r="F70" s="18"/>
    </row>
    <row r="71" customFormat="false" ht="19.5" hidden="false" customHeight="true" outlineLevel="0" collapsed="false">
      <c r="A71" s="46" t="s">
        <v>356</v>
      </c>
      <c r="B71" s="20" t="n">
        <f aca="false">COUNTIF('Fragrance Projects'!$H$5:$H$64,"Reformulation")</f>
        <v>0</v>
      </c>
      <c r="C71" s="18" t="str">
        <f aca="false">IF(LEN(IF(LEN(IFERROR(INDEX('Fragrance Projects'!$D$5:$D$64,SUMPRODUCT(SMALL(IF((('Fragrance Projects'!$H$5:$H$64="Reformulation")),ROW('Fragrance Projects'!$H$5:$H$64)-ROW(INDEX('Fragrance Projects'!$H$5:$H$64,1))+1),1))),""))&gt;0,IFERROR(INDEX('Fragrance Projects'!$D$5:$D$64,SUMPRODUCT(SMALL(IF((('Fragrance Projects'!$H$5:$H$64="Reformulation")),ROW('Fragrance Projects'!$H$5:$H$64)-ROW(INDEX('Fragrance Projects'!$H$5:$H$64,1))+1),1))),"")&amp;"; ","")&amp;IF(LEN(IFERROR(INDEX('Fragrance Projects'!$D$5:$D$64,SUMPRODUCT(SMALL(IF((('Fragrance Projects'!$H$5:$H$64="Reformulation")),ROW('Fragrance Projects'!$H$5:$H$64)-ROW(INDEX('Fragrance Projects'!$H$5:$H$64,1))+1),2))),""))&gt;0,IFERROR(INDEX('Fragrance Projects'!$D$5:$D$64,SUMPRODUCT(SMALL(IF((('Fragrance Projects'!$H$5:$H$64="Reformulation")),ROW('Fragrance Projects'!$H$5:$H$64)-ROW(INDEX('Fragrance Projects'!$H$5:$H$64,1))+1),2))),"")&amp;"; ","")&amp;IF(LEN(IFERROR(INDEX('Fragrance Projects'!$D$5:$D$64,SUMPRODUCT(SMALL(IF((('Fragrance Projects'!$H$5:$H$64="Reformulation")),ROW('Fragrance Projects'!$H$5:$H$64)-ROW(INDEX('Fragrance Projects'!$H$5:$H$64,1))+1),3))),""))&gt;0,IFERROR(INDEX('Fragrance Projects'!$D$5:$D$64,SUMPRODUCT(SMALL(IF((('Fragrance Projects'!$H$5:$H$64="Reformulation")),ROW('Fragrance Projects'!$H$5:$H$64)-ROW(INDEX('Fragrance Projects'!$H$5:$H$64,1))+1),3))),"")&amp;"; ",""))=0,"",LEFT(IF(LEN(IFERROR(INDEX('Fragrance Projects'!$D$5:$D$64,SUMPRODUCT(SMALL(IF((('Fragrance Projects'!$H$5:$H$64="Reformulation")),ROW('Fragrance Projects'!$H$5:$H$64)-ROW(INDEX('Fragrance Projects'!$H$5:$H$64,1))+1),1))),""))&gt;0,IFERROR(INDEX('Fragrance Projects'!$D$5:$D$64,SUMPRODUCT(SMALL(IF((('Fragrance Projects'!$H$5:$H$64="Reformulation")),ROW('Fragrance Projects'!$H$5:$H$64)-ROW(INDEX('Fragrance Projects'!$H$5:$H$64,1))+1),1))),"")&amp;"; ","")&amp;IF(LEN(IFERROR(INDEX('Fragrance Projects'!$D$5:$D$64,SUMPRODUCT(SMALL(IF((('Fragrance Projects'!$H$5:$H$64="Reformulation")),ROW('Fragrance Projects'!$H$5:$H$64)-ROW(INDEX('Fragrance Projects'!$H$5:$H$64,1))+1),2))),""))&gt;0,IFERROR(INDEX('Fragrance Projects'!$D$5:$D$64,SUMPRODUCT(SMALL(IF((('Fragrance Projects'!$H$5:$H$64="Reformulation")),ROW('Fragrance Projects'!$H$5:$H$64)-ROW(INDEX('Fragrance Projects'!$H$5:$H$64,1))+1),2))),"")&amp;"; ","")&amp;IF(LEN(IFERROR(INDEX('Fragrance Projects'!$D$5:$D$64,SUMPRODUCT(SMALL(IF((('Fragrance Projects'!$H$5:$H$64="Reformulation")),ROW('Fragrance Projects'!$H$5:$H$64)-ROW(INDEX('Fragrance Projects'!$H$5:$H$64,1))+1),3))),""))&gt;0,IFERROR(INDEX('Fragrance Projects'!$D$5:$D$64,SUMPRODUCT(SMALL(IF((('Fragrance Projects'!$H$5:$H$64="Reformulation")),ROW('Fragrance Projects'!$H$5:$H$64)-ROW(INDEX('Fragrance Projects'!$H$5:$H$64,1))+1),3))),"")&amp;"; ",""),LEN(IF(LEN(IFERROR(INDEX('Fragrance Projects'!$D$5:$D$64,SUMPRODUCT(SMALL(IF((('Fragrance Projects'!$H$5:$H$64="Reformulation")),ROW('Fragrance Projects'!$H$5:$H$64)-ROW(INDEX('Fragrance Projects'!$H$5:$H$64,1))+1),1))),""))&gt;0,IFERROR(INDEX('Fragrance Projects'!$D$5:$D$64,SUMPRODUCT(SMALL(IF((('Fragrance Projects'!$H$5:$H$64="Reformulation")),ROW('Fragrance Projects'!$H$5:$H$64)-ROW(INDEX('Fragrance Projects'!$H$5:$H$64,1))+1),1))),"")&amp;"; ","")&amp;IF(LEN(IFERROR(INDEX('Fragrance Projects'!$D$5:$D$64,SUMPRODUCT(SMALL(IF((('Fragrance Projects'!$H$5:$H$64="Reformulation")),ROW('Fragrance Projects'!$H$5:$H$64)-ROW(INDEX('Fragrance Projects'!$H$5:$H$64,1))+1),2))),""))&gt;0,IFERROR(INDEX('Fragrance Projects'!$D$5:$D$64,SUMPRODUCT(SMALL(IF((('Fragrance Projects'!$H$5:$H$64="Reformulation")),ROW('Fragrance Projects'!$H$5:$H$64)-ROW(INDEX('Fragrance Projects'!$H$5:$H$64,1))+1),2))),"")&amp;"; ","")&amp;IF(LEN(IFERROR(INDEX('Fragrance Projects'!$D$5:$D$64,SUMPRODUCT(SMALL(IF((('Fragrance Projects'!$H$5:$H$64="Reformulation")),ROW('Fragrance Projects'!$H$5:$H$64)-ROW(INDEX('Fragrance Projects'!$H$5:$H$64,1))+1),3))),""))&gt;0,IFERROR(INDEX('Fragrance Projects'!$D$5:$D$64,SUMPRODUCT(SMALL(IF((('Fragrance Projects'!$H$5:$H$64="Reformulation")),ROW('Fragrance Projects'!$H$5:$H$64)-ROW(INDEX('Fragrance Projects'!$H$5:$H$64,1))+1),3))),"")&amp;"; ",""))-2))</f>
        <v/>
      </c>
      <c r="D71" s="18"/>
      <c r="E71" s="18"/>
      <c r="F71" s="18"/>
    </row>
    <row r="72" customFormat="false" ht="19.5" hidden="false" customHeight="true" outlineLevel="0" collapsed="false">
      <c r="A72" s="46" t="s">
        <v>357</v>
      </c>
      <c r="B72" s="20" t="n">
        <f aca="false">COUNTIF('Fragrance Projects'!$H$5:$H$64,"Compounding")</f>
        <v>0</v>
      </c>
      <c r="C72" s="18" t="str">
        <f aca="false">IF(LEN(IF(LEN(IFERROR(INDEX('Fragrance Projects'!$D$5:$D$64,SUMPRODUCT(SMALL(IF((('Fragrance Projects'!$H$5:$H$64="Compounding")),ROW('Fragrance Projects'!$H$5:$H$64)-ROW(INDEX('Fragrance Projects'!$H$5:$H$64,1))+1),1))),""))&gt;0,IFERROR(INDEX('Fragrance Projects'!$D$5:$D$64,SUMPRODUCT(SMALL(IF((('Fragrance Projects'!$H$5:$H$64="Compounding")),ROW('Fragrance Projects'!$H$5:$H$64)-ROW(INDEX('Fragrance Projects'!$H$5:$H$64,1))+1),1))),"")&amp;"; ","")&amp;IF(LEN(IFERROR(INDEX('Fragrance Projects'!$D$5:$D$64,SUMPRODUCT(SMALL(IF((('Fragrance Projects'!$H$5:$H$64="Compounding")),ROW('Fragrance Projects'!$H$5:$H$64)-ROW(INDEX('Fragrance Projects'!$H$5:$H$64,1))+1),2))),""))&gt;0,IFERROR(INDEX('Fragrance Projects'!$D$5:$D$64,SUMPRODUCT(SMALL(IF((('Fragrance Projects'!$H$5:$H$64="Compounding")),ROW('Fragrance Projects'!$H$5:$H$64)-ROW(INDEX('Fragrance Projects'!$H$5:$H$64,1))+1),2))),"")&amp;"; ","")&amp;IF(LEN(IFERROR(INDEX('Fragrance Projects'!$D$5:$D$64,SUMPRODUCT(SMALL(IF((('Fragrance Projects'!$H$5:$H$64="Compounding")),ROW('Fragrance Projects'!$H$5:$H$64)-ROW(INDEX('Fragrance Projects'!$H$5:$H$64,1))+1),3))),""))&gt;0,IFERROR(INDEX('Fragrance Projects'!$D$5:$D$64,SUMPRODUCT(SMALL(IF((('Fragrance Projects'!$H$5:$H$64="Compounding")),ROW('Fragrance Projects'!$H$5:$H$64)-ROW(INDEX('Fragrance Projects'!$H$5:$H$64,1))+1),3))),"")&amp;"; ",""))=0,"",LEFT(IF(LEN(IFERROR(INDEX('Fragrance Projects'!$D$5:$D$64,SUMPRODUCT(SMALL(IF((('Fragrance Projects'!$H$5:$H$64="Compounding")),ROW('Fragrance Projects'!$H$5:$H$64)-ROW(INDEX('Fragrance Projects'!$H$5:$H$64,1))+1),1))),""))&gt;0,IFERROR(INDEX('Fragrance Projects'!$D$5:$D$64,SUMPRODUCT(SMALL(IF((('Fragrance Projects'!$H$5:$H$64="Compounding")),ROW('Fragrance Projects'!$H$5:$H$64)-ROW(INDEX('Fragrance Projects'!$H$5:$H$64,1))+1),1))),"")&amp;"; ","")&amp;IF(LEN(IFERROR(INDEX('Fragrance Projects'!$D$5:$D$64,SUMPRODUCT(SMALL(IF((('Fragrance Projects'!$H$5:$H$64="Compounding")),ROW('Fragrance Projects'!$H$5:$H$64)-ROW(INDEX('Fragrance Projects'!$H$5:$H$64,1))+1),2))),""))&gt;0,IFERROR(INDEX('Fragrance Projects'!$D$5:$D$64,SUMPRODUCT(SMALL(IF((('Fragrance Projects'!$H$5:$H$64="Compounding")),ROW('Fragrance Projects'!$H$5:$H$64)-ROW(INDEX('Fragrance Projects'!$H$5:$H$64,1))+1),2))),"")&amp;"; ","")&amp;IF(LEN(IFERROR(INDEX('Fragrance Projects'!$D$5:$D$64,SUMPRODUCT(SMALL(IF((('Fragrance Projects'!$H$5:$H$64="Compounding")),ROW('Fragrance Projects'!$H$5:$H$64)-ROW(INDEX('Fragrance Projects'!$H$5:$H$64,1))+1),3))),""))&gt;0,IFERROR(INDEX('Fragrance Projects'!$D$5:$D$64,SUMPRODUCT(SMALL(IF((('Fragrance Projects'!$H$5:$H$64="Compounding")),ROW('Fragrance Projects'!$H$5:$H$64)-ROW(INDEX('Fragrance Projects'!$H$5:$H$64,1))+1),3))),"")&amp;"; ",""),LEN(IF(LEN(IFERROR(INDEX('Fragrance Projects'!$D$5:$D$64,SUMPRODUCT(SMALL(IF((('Fragrance Projects'!$H$5:$H$64="Compounding")),ROW('Fragrance Projects'!$H$5:$H$64)-ROW(INDEX('Fragrance Projects'!$H$5:$H$64,1))+1),1))),""))&gt;0,IFERROR(INDEX('Fragrance Projects'!$D$5:$D$64,SUMPRODUCT(SMALL(IF((('Fragrance Projects'!$H$5:$H$64="Compounding")),ROW('Fragrance Projects'!$H$5:$H$64)-ROW(INDEX('Fragrance Projects'!$H$5:$H$64,1))+1),1))),"")&amp;"; ","")&amp;IF(LEN(IFERROR(INDEX('Fragrance Projects'!$D$5:$D$64,SUMPRODUCT(SMALL(IF((('Fragrance Projects'!$H$5:$H$64="Compounding")),ROW('Fragrance Projects'!$H$5:$H$64)-ROW(INDEX('Fragrance Projects'!$H$5:$H$64,1))+1),2))),""))&gt;0,IFERROR(INDEX('Fragrance Projects'!$D$5:$D$64,SUMPRODUCT(SMALL(IF((('Fragrance Projects'!$H$5:$H$64="Compounding")),ROW('Fragrance Projects'!$H$5:$H$64)-ROW(INDEX('Fragrance Projects'!$H$5:$H$64,1))+1),2))),"")&amp;"; ","")&amp;IF(LEN(IFERROR(INDEX('Fragrance Projects'!$D$5:$D$64,SUMPRODUCT(SMALL(IF((('Fragrance Projects'!$H$5:$H$64="Compounding")),ROW('Fragrance Projects'!$H$5:$H$64)-ROW(INDEX('Fragrance Projects'!$H$5:$H$64,1))+1),3))),""))&gt;0,IFERROR(INDEX('Fragrance Projects'!$D$5:$D$64,SUMPRODUCT(SMALL(IF((('Fragrance Projects'!$H$5:$H$64="Compounding")),ROW('Fragrance Projects'!$H$5:$H$64)-ROW(INDEX('Fragrance Projects'!$H$5:$H$64,1))+1),3))),"")&amp;"; ",""))-2))</f>
        <v/>
      </c>
      <c r="D72" s="18"/>
      <c r="E72" s="18"/>
      <c r="F72" s="18"/>
    </row>
    <row r="73" customFormat="false" ht="19.5" hidden="false" customHeight="true" outlineLevel="0" collapsed="false">
      <c r="A73" s="46" t="s">
        <v>358</v>
      </c>
      <c r="B73" s="20" t="n">
        <f aca="false">COUNTIFS('Fragrance Projects'!$H$5:$H$64,"Evaluation",'Fragrance Projects'!$O$5:$O$64,"Us")</f>
        <v>0</v>
      </c>
      <c r="C73" s="18" t="str">
        <f aca="false">IF(LEN(IF(LEN(IFERROR(INDEX('Fragrance Projects'!$D$5:$D$64,SUMPRODUCT(SMALL(IF((('Fragrance Projects'!$H$5:$H$64="Evaluation")*('Fragrance Projects'!$O$5:$O$64="Us")),ROW('Fragrance Projects'!$H$5:$H$64)-ROW(INDEX('Fragrance Projects'!$H$5:$H$64,1))+1),1))),""))&gt;0,IFERROR(INDEX('Fragrance Projects'!$D$5:$D$64,SUMPRODUCT(SMALL(IF((('Fragrance Projects'!$H$5:$H$64="Evaluation")*('Fragrance Projects'!$O$5:$O$64="Us")),ROW('Fragrance Projects'!$H$5:$H$64)-ROW(INDEX('Fragrance Projects'!$H$5:$H$64,1))+1),1))),"")&amp;"; ","")&amp;IF(LEN(IFERROR(INDEX('Fragrance Projects'!$D$5:$D$64,SUMPRODUCT(SMALL(IF((('Fragrance Projects'!$H$5:$H$64="Evaluation")*('Fragrance Projects'!$O$5:$O$64="Us")),ROW('Fragrance Projects'!$H$5:$H$64)-ROW(INDEX('Fragrance Projects'!$H$5:$H$64,1))+1),2))),""))&gt;0,IFERROR(INDEX('Fragrance Projects'!$D$5:$D$64,SUMPRODUCT(SMALL(IF((('Fragrance Projects'!$H$5:$H$64="Evaluation")*('Fragrance Projects'!$O$5:$O$64="Us")),ROW('Fragrance Projects'!$H$5:$H$64)-ROW(INDEX('Fragrance Projects'!$H$5:$H$64,1))+1),2))),"")&amp;"; ","")&amp;IF(LEN(IFERROR(INDEX('Fragrance Projects'!$D$5:$D$64,SUMPRODUCT(SMALL(IF((('Fragrance Projects'!$H$5:$H$64="Evaluation")*('Fragrance Projects'!$O$5:$O$64="Us")),ROW('Fragrance Projects'!$H$5:$H$64)-ROW(INDEX('Fragrance Projects'!$H$5:$H$64,1))+1),3))),""))&gt;0,IFERROR(INDEX('Fragrance Projects'!$D$5:$D$64,SUMPRODUCT(SMALL(IF((('Fragrance Projects'!$H$5:$H$64="Evaluation")*('Fragrance Projects'!$O$5:$O$64="Us")),ROW('Fragrance Projects'!$H$5:$H$64)-ROW(INDEX('Fragrance Projects'!$H$5:$H$64,1))+1),3))),"")&amp;"; ",""))=0,"",LEFT(IF(LEN(IFERROR(INDEX('Fragrance Projects'!$D$5:$D$64,SUMPRODUCT(SMALL(IF((('Fragrance Projects'!$H$5:$H$64="Evaluation")*('Fragrance Projects'!$O$5:$O$64="Us")),ROW('Fragrance Projects'!$H$5:$H$64)-ROW(INDEX('Fragrance Projects'!$H$5:$H$64,1))+1),1))),""))&gt;0,IFERROR(INDEX('Fragrance Projects'!$D$5:$D$64,SUMPRODUCT(SMALL(IF((('Fragrance Projects'!$H$5:$H$64="Evaluation")*('Fragrance Projects'!$O$5:$O$64="Us")),ROW('Fragrance Projects'!$H$5:$H$64)-ROW(INDEX('Fragrance Projects'!$H$5:$H$64,1))+1),1))),"")&amp;"; ","")&amp;IF(LEN(IFERROR(INDEX('Fragrance Projects'!$D$5:$D$64,SUMPRODUCT(SMALL(IF((('Fragrance Projects'!$H$5:$H$64="Evaluation")*('Fragrance Projects'!$O$5:$O$64="Us")),ROW('Fragrance Projects'!$H$5:$H$64)-ROW(INDEX('Fragrance Projects'!$H$5:$H$64,1))+1),2))),""))&gt;0,IFERROR(INDEX('Fragrance Projects'!$D$5:$D$64,SUMPRODUCT(SMALL(IF((('Fragrance Projects'!$H$5:$H$64="Evaluation")*('Fragrance Projects'!$O$5:$O$64="Us")),ROW('Fragrance Projects'!$H$5:$H$64)-ROW(INDEX('Fragrance Projects'!$H$5:$H$64,1))+1),2))),"")&amp;"; ","")&amp;IF(LEN(IFERROR(INDEX('Fragrance Projects'!$D$5:$D$64,SUMPRODUCT(SMALL(IF((('Fragrance Projects'!$H$5:$H$64="Evaluation")*('Fragrance Projects'!$O$5:$O$64="Us")),ROW('Fragrance Projects'!$H$5:$H$64)-ROW(INDEX('Fragrance Projects'!$H$5:$H$64,1))+1),3))),""))&gt;0,IFERROR(INDEX('Fragrance Projects'!$D$5:$D$64,SUMPRODUCT(SMALL(IF((('Fragrance Projects'!$H$5:$H$64="Evaluation")*('Fragrance Projects'!$O$5:$O$64="Us")),ROW('Fragrance Projects'!$H$5:$H$64)-ROW(INDEX('Fragrance Projects'!$H$5:$H$64,1))+1),3))),"")&amp;"; ",""),LEN(IF(LEN(IFERROR(INDEX('Fragrance Projects'!$D$5:$D$64,SUMPRODUCT(SMALL(IF((('Fragrance Projects'!$H$5:$H$64="Evaluation")*('Fragrance Projects'!$O$5:$O$64="Us")),ROW('Fragrance Projects'!$H$5:$H$64)-ROW(INDEX('Fragrance Projects'!$H$5:$H$64,1))+1),1))),""))&gt;0,IFERROR(INDEX('Fragrance Projects'!$D$5:$D$64,SUMPRODUCT(SMALL(IF((('Fragrance Projects'!$H$5:$H$64="Evaluation")*('Fragrance Projects'!$O$5:$O$64="Us")),ROW('Fragrance Projects'!$H$5:$H$64)-ROW(INDEX('Fragrance Projects'!$H$5:$H$64,1))+1),1))),"")&amp;"; ","")&amp;IF(LEN(IFERROR(INDEX('Fragrance Projects'!$D$5:$D$64,SUMPRODUCT(SMALL(IF((('Fragrance Projects'!$H$5:$H$64="Evaluation")*('Fragrance Projects'!$O$5:$O$64="Us")),ROW('Fragrance Projects'!$H$5:$H$64)-ROW(INDEX('Fragrance Projects'!$H$5:$H$64,1))+1),2))),""))&gt;0,IFERROR(INDEX('Fragrance Projects'!$D$5:$D$64,SUMPRODUCT(SMALL(IF((('Fragrance Projects'!$H$5:$H$64="Evaluation")*('Fragrance Projects'!$O$5:$O$64="Us")),ROW('Fragrance Projects'!$H$5:$H$64)-ROW(INDEX('Fragrance Projects'!$H$5:$H$64,1))+1),2))),"")&amp;"; ","")&amp;IF(LEN(IFERROR(INDEX('Fragrance Projects'!$D$5:$D$64,SUMPRODUCT(SMALL(IF((('Fragrance Projects'!$H$5:$H$64="Evaluation")*('Fragrance Projects'!$O$5:$O$64="Us")),ROW('Fragrance Projects'!$H$5:$H$64)-ROW(INDEX('Fragrance Projects'!$H$5:$H$64,1))+1),3))),""))&gt;0,IFERROR(INDEX('Fragrance Projects'!$D$5:$D$64,SUMPRODUCT(SMALL(IF((('Fragrance Projects'!$H$5:$H$64="Evaluation")*('Fragrance Projects'!$O$5:$O$64="Us")),ROW('Fragrance Projects'!$H$5:$H$64)-ROW(INDEX('Fragrance Projects'!$H$5:$H$64,1))+1),3))),"")&amp;"; ",""))-2))</f>
        <v/>
      </c>
      <c r="D73" s="18"/>
      <c r="E73" s="18"/>
      <c r="F73" s="18"/>
    </row>
    <row r="74" customFormat="false" ht="19.5" hidden="false" customHeight="true" outlineLevel="0" collapsed="false">
      <c r="A74" s="46" t="s">
        <v>359</v>
      </c>
      <c r="B74" s="20" t="n">
        <f aca="false">COUNTIFS('Fragrance Projects'!$H$5:$H$64,"Awaiting Feedback",'Fragrance Projects'!$O$5:$O$64,"Us")</f>
        <v>0</v>
      </c>
      <c r="C74" s="18" t="str">
        <f aca="false">IF(LEN(IF(LEN(IFERROR(INDEX('Fragrance Projects'!$D$5:$D$64,SUMPRODUCT(SMALL(IF((('Fragrance Projects'!$H$5:$H$64="Awaiting Feedback")*('Fragrance Projects'!$O$5:$O$64="Us")),ROW('Fragrance Projects'!$H$5:$H$64)-ROW(INDEX('Fragrance Projects'!$H$5:$H$64,1))+1),1))),""))&gt;0,IFERROR(INDEX('Fragrance Projects'!$D$5:$D$64,SUMPRODUCT(SMALL(IF((('Fragrance Projects'!$H$5:$H$64="Awaiting Feedback")*('Fragrance Projects'!$O$5:$O$64="Us")),ROW('Fragrance Projects'!$H$5:$H$64)-ROW(INDEX('Fragrance Projects'!$H$5:$H$64,1))+1),1))),"")&amp;"; ","")&amp;IF(LEN(IFERROR(INDEX('Fragrance Projects'!$D$5:$D$64,SUMPRODUCT(SMALL(IF((('Fragrance Projects'!$H$5:$H$64="Awaiting Feedback")*('Fragrance Projects'!$O$5:$O$64="Us")),ROW('Fragrance Projects'!$H$5:$H$64)-ROW(INDEX('Fragrance Projects'!$H$5:$H$64,1))+1),2))),""))&gt;0,IFERROR(INDEX('Fragrance Projects'!$D$5:$D$64,SUMPRODUCT(SMALL(IF((('Fragrance Projects'!$H$5:$H$64="Awaiting Feedback")*('Fragrance Projects'!$O$5:$O$64="Us")),ROW('Fragrance Projects'!$H$5:$H$64)-ROW(INDEX('Fragrance Projects'!$H$5:$H$64,1))+1),2))),"")&amp;"; ","")&amp;IF(LEN(IFERROR(INDEX('Fragrance Projects'!$D$5:$D$64,SUMPRODUCT(SMALL(IF((('Fragrance Projects'!$H$5:$H$64="Awaiting Feedback")*('Fragrance Projects'!$O$5:$O$64="Us")),ROW('Fragrance Projects'!$H$5:$H$64)-ROW(INDEX('Fragrance Projects'!$H$5:$H$64,1))+1),3))),""))&gt;0,IFERROR(INDEX('Fragrance Projects'!$D$5:$D$64,SUMPRODUCT(SMALL(IF((('Fragrance Projects'!$H$5:$H$64="Awaiting Feedback")*('Fragrance Projects'!$O$5:$O$64="Us")),ROW('Fragrance Projects'!$H$5:$H$64)-ROW(INDEX('Fragrance Projects'!$H$5:$H$64,1))+1),3))),"")&amp;"; ",""))=0,"",LEFT(IF(LEN(IFERROR(INDEX('Fragrance Projects'!$D$5:$D$64,SUMPRODUCT(SMALL(IF((('Fragrance Projects'!$H$5:$H$64="Awaiting Feedback")*('Fragrance Projects'!$O$5:$O$64="Us")),ROW('Fragrance Projects'!$H$5:$H$64)-ROW(INDEX('Fragrance Projects'!$H$5:$H$64,1))+1),1))),""))&gt;0,IFERROR(INDEX('Fragrance Projects'!$D$5:$D$64,SUMPRODUCT(SMALL(IF((('Fragrance Projects'!$H$5:$H$64="Awaiting Feedback")*('Fragrance Projects'!$O$5:$O$64="Us")),ROW('Fragrance Projects'!$H$5:$H$64)-ROW(INDEX('Fragrance Projects'!$H$5:$H$64,1))+1),1))),"")&amp;"; ","")&amp;IF(LEN(IFERROR(INDEX('Fragrance Projects'!$D$5:$D$64,SUMPRODUCT(SMALL(IF((('Fragrance Projects'!$H$5:$H$64="Awaiting Feedback")*('Fragrance Projects'!$O$5:$O$64="Us")),ROW('Fragrance Projects'!$H$5:$H$64)-ROW(INDEX('Fragrance Projects'!$H$5:$H$64,1))+1),2))),""))&gt;0,IFERROR(INDEX('Fragrance Projects'!$D$5:$D$64,SUMPRODUCT(SMALL(IF((('Fragrance Projects'!$H$5:$H$64="Awaiting Feedback")*('Fragrance Projects'!$O$5:$O$64="Us")),ROW('Fragrance Projects'!$H$5:$H$64)-ROW(INDEX('Fragrance Projects'!$H$5:$H$64,1))+1),2))),"")&amp;"; ","")&amp;IF(LEN(IFERROR(INDEX('Fragrance Projects'!$D$5:$D$64,SUMPRODUCT(SMALL(IF((('Fragrance Projects'!$H$5:$H$64="Awaiting Feedback")*('Fragrance Projects'!$O$5:$O$64="Us")),ROW('Fragrance Projects'!$H$5:$H$64)-ROW(INDEX('Fragrance Projects'!$H$5:$H$64,1))+1),3))),""))&gt;0,IFERROR(INDEX('Fragrance Projects'!$D$5:$D$64,SUMPRODUCT(SMALL(IF((('Fragrance Projects'!$H$5:$H$64="Awaiting Feedback")*('Fragrance Projects'!$O$5:$O$64="Us")),ROW('Fragrance Projects'!$H$5:$H$64)-ROW(INDEX('Fragrance Projects'!$H$5:$H$64,1))+1),3))),"")&amp;"; ",""),LEN(IF(LEN(IFERROR(INDEX('Fragrance Projects'!$D$5:$D$64,SUMPRODUCT(SMALL(IF((('Fragrance Projects'!$H$5:$H$64="Awaiting Feedback")*('Fragrance Projects'!$O$5:$O$64="Us")),ROW('Fragrance Projects'!$H$5:$H$64)-ROW(INDEX('Fragrance Projects'!$H$5:$H$64,1))+1),1))),""))&gt;0,IFERROR(INDEX('Fragrance Projects'!$D$5:$D$64,SUMPRODUCT(SMALL(IF((('Fragrance Projects'!$H$5:$H$64="Awaiting Feedback")*('Fragrance Projects'!$O$5:$O$64="Us")),ROW('Fragrance Projects'!$H$5:$H$64)-ROW(INDEX('Fragrance Projects'!$H$5:$H$64,1))+1),1))),"")&amp;"; ","")&amp;IF(LEN(IFERROR(INDEX('Fragrance Projects'!$D$5:$D$64,SUMPRODUCT(SMALL(IF((('Fragrance Projects'!$H$5:$H$64="Awaiting Feedback")*('Fragrance Projects'!$O$5:$O$64="Us")),ROW('Fragrance Projects'!$H$5:$H$64)-ROW(INDEX('Fragrance Projects'!$H$5:$H$64,1))+1),2))),""))&gt;0,IFERROR(INDEX('Fragrance Projects'!$D$5:$D$64,SUMPRODUCT(SMALL(IF((('Fragrance Projects'!$H$5:$H$64="Awaiting Feedback")*('Fragrance Projects'!$O$5:$O$64="Us")),ROW('Fragrance Projects'!$H$5:$H$64)-ROW(INDEX('Fragrance Projects'!$H$5:$H$64,1))+1),2))),"")&amp;"; ","")&amp;IF(LEN(IFERROR(INDEX('Fragrance Projects'!$D$5:$D$64,SUMPRODUCT(SMALL(IF((('Fragrance Projects'!$H$5:$H$64="Awaiting Feedback")*('Fragrance Projects'!$O$5:$O$64="Us")),ROW('Fragrance Projects'!$H$5:$H$64)-ROW(INDEX('Fragrance Projects'!$H$5:$H$64,1))+1),3))),""))&gt;0,IFERROR(INDEX('Fragrance Projects'!$D$5:$D$64,SUMPRODUCT(SMALL(IF((('Fragrance Projects'!$H$5:$H$64="Awaiting Feedback")*('Fragrance Projects'!$O$5:$O$64="Us")),ROW('Fragrance Projects'!$H$5:$H$64)-ROW(INDEX('Fragrance Projects'!$H$5:$H$64,1))+1),3))),"")&amp;"; ",""))-2))</f>
        <v/>
      </c>
      <c r="D74" s="18"/>
      <c r="E74" s="18"/>
      <c r="F74" s="18"/>
    </row>
    <row r="75" customFormat="false" ht="19.5" hidden="false" customHeight="true" outlineLevel="0" collapsed="false">
      <c r="A75" s="46" t="s">
        <v>360</v>
      </c>
      <c r="B75" s="20" t="n">
        <f aca="false">COUNTIFS('Fragrance Projects'!$U$5:$U$64,"No",'Fragrance Projects'!$T$5:$T$64,"Yes")</f>
        <v>0</v>
      </c>
      <c r="C75" s="18" t="str">
        <f aca="false">IF(LEN(IF(LEN(IFERROR(INDEX('Fragrance Projects'!$D$5:$D$64,SUMPRODUCT(SMALL(IF((('Fragrance Projects'!$U$5:$U$64="No")*('Fragrance Projects'!$T$5:$T$64="Yes")),ROW('Fragrance Projects'!$U$5:$U$64)-ROW(INDEX('Fragrance Projects'!$U$5:$U$64,1))+1),1))),""))&gt;0,IFERROR(INDEX('Fragrance Projects'!$D$5:$D$64,SUMPRODUCT(SMALL(IF((('Fragrance Projects'!$U$5:$U$64="No")*('Fragrance Projects'!$T$5:$T$64="Yes")),ROW('Fragrance Projects'!$U$5:$U$64)-ROW(INDEX('Fragrance Projects'!$U$5:$U$64,1))+1),1))),"")&amp;"; ","")&amp;IF(LEN(IFERROR(INDEX('Fragrance Projects'!$D$5:$D$64,SUMPRODUCT(SMALL(IF((('Fragrance Projects'!$U$5:$U$64="No")*('Fragrance Projects'!$T$5:$T$64="Yes")),ROW('Fragrance Projects'!$U$5:$U$64)-ROW(INDEX('Fragrance Projects'!$U$5:$U$64,1))+1),2))),""))&gt;0,IFERROR(INDEX('Fragrance Projects'!$D$5:$D$64,SUMPRODUCT(SMALL(IF((('Fragrance Projects'!$U$5:$U$64="No")*('Fragrance Projects'!$T$5:$T$64="Yes")),ROW('Fragrance Projects'!$U$5:$U$64)-ROW(INDEX('Fragrance Projects'!$U$5:$U$64,1))+1),2))),"")&amp;"; ","")&amp;IF(LEN(IFERROR(INDEX('Fragrance Projects'!$D$5:$D$64,SUMPRODUCT(SMALL(IF((('Fragrance Projects'!$U$5:$U$64="No")*('Fragrance Projects'!$T$5:$T$64="Yes")),ROW('Fragrance Projects'!$U$5:$U$64)-ROW(INDEX('Fragrance Projects'!$U$5:$U$64,1))+1),3))),""))&gt;0,IFERROR(INDEX('Fragrance Projects'!$D$5:$D$64,SUMPRODUCT(SMALL(IF((('Fragrance Projects'!$U$5:$U$64="No")*('Fragrance Projects'!$T$5:$T$64="Yes")),ROW('Fragrance Projects'!$U$5:$U$64)-ROW(INDEX('Fragrance Projects'!$U$5:$U$64,1))+1),3))),"")&amp;"; ",""))=0,"",LEFT(IF(LEN(IFERROR(INDEX('Fragrance Projects'!$D$5:$D$64,SUMPRODUCT(SMALL(IF((('Fragrance Projects'!$U$5:$U$64="No")*('Fragrance Projects'!$T$5:$T$64="Yes")),ROW('Fragrance Projects'!$U$5:$U$64)-ROW(INDEX('Fragrance Projects'!$U$5:$U$64,1))+1),1))),""))&gt;0,IFERROR(INDEX('Fragrance Projects'!$D$5:$D$64,SUMPRODUCT(SMALL(IF((('Fragrance Projects'!$U$5:$U$64="No")*('Fragrance Projects'!$T$5:$T$64="Yes")),ROW('Fragrance Projects'!$U$5:$U$64)-ROW(INDEX('Fragrance Projects'!$U$5:$U$64,1))+1),1))),"")&amp;"; ","")&amp;IF(LEN(IFERROR(INDEX('Fragrance Projects'!$D$5:$D$64,SUMPRODUCT(SMALL(IF((('Fragrance Projects'!$U$5:$U$64="No")*('Fragrance Projects'!$T$5:$T$64="Yes")),ROW('Fragrance Projects'!$U$5:$U$64)-ROW(INDEX('Fragrance Projects'!$U$5:$U$64,1))+1),2))),""))&gt;0,IFERROR(INDEX('Fragrance Projects'!$D$5:$D$64,SUMPRODUCT(SMALL(IF((('Fragrance Projects'!$U$5:$U$64="No")*('Fragrance Projects'!$T$5:$T$64="Yes")),ROW('Fragrance Projects'!$U$5:$U$64)-ROW(INDEX('Fragrance Projects'!$U$5:$U$64,1))+1),2))),"")&amp;"; ","")&amp;IF(LEN(IFERROR(INDEX('Fragrance Projects'!$D$5:$D$64,SUMPRODUCT(SMALL(IF((('Fragrance Projects'!$U$5:$U$64="No")*('Fragrance Projects'!$T$5:$T$64="Yes")),ROW('Fragrance Projects'!$U$5:$U$64)-ROW(INDEX('Fragrance Projects'!$U$5:$U$64,1))+1),3))),""))&gt;0,IFERROR(INDEX('Fragrance Projects'!$D$5:$D$64,SUMPRODUCT(SMALL(IF((('Fragrance Projects'!$U$5:$U$64="No")*('Fragrance Projects'!$T$5:$T$64="Yes")),ROW('Fragrance Projects'!$U$5:$U$64)-ROW(INDEX('Fragrance Projects'!$U$5:$U$64,1))+1),3))),"")&amp;"; ",""),LEN(IF(LEN(IFERROR(INDEX('Fragrance Projects'!$D$5:$D$64,SUMPRODUCT(SMALL(IF((('Fragrance Projects'!$U$5:$U$64="No")*('Fragrance Projects'!$T$5:$T$64="Yes")),ROW('Fragrance Projects'!$U$5:$U$64)-ROW(INDEX('Fragrance Projects'!$U$5:$U$64,1))+1),1))),""))&gt;0,IFERROR(INDEX('Fragrance Projects'!$D$5:$D$64,SUMPRODUCT(SMALL(IF((('Fragrance Projects'!$U$5:$U$64="No")*('Fragrance Projects'!$T$5:$T$64="Yes")),ROW('Fragrance Projects'!$U$5:$U$64)-ROW(INDEX('Fragrance Projects'!$U$5:$U$64,1))+1),1))),"")&amp;"; ","")&amp;IF(LEN(IFERROR(INDEX('Fragrance Projects'!$D$5:$D$64,SUMPRODUCT(SMALL(IF((('Fragrance Projects'!$U$5:$U$64="No")*('Fragrance Projects'!$T$5:$T$64="Yes")),ROW('Fragrance Projects'!$U$5:$U$64)-ROW(INDEX('Fragrance Projects'!$U$5:$U$64,1))+1),2))),""))&gt;0,IFERROR(INDEX('Fragrance Projects'!$D$5:$D$64,SUMPRODUCT(SMALL(IF((('Fragrance Projects'!$U$5:$U$64="No")*('Fragrance Projects'!$T$5:$T$64="Yes")),ROW('Fragrance Projects'!$U$5:$U$64)-ROW(INDEX('Fragrance Projects'!$U$5:$U$64,1))+1),2))),"")&amp;"; ","")&amp;IF(LEN(IFERROR(INDEX('Fragrance Projects'!$D$5:$D$64,SUMPRODUCT(SMALL(IF((('Fragrance Projects'!$U$5:$U$64="No")*('Fragrance Projects'!$T$5:$T$64="Yes")),ROW('Fragrance Projects'!$U$5:$U$64)-ROW(INDEX('Fragrance Projects'!$U$5:$U$64,1))+1),3))),""))&gt;0,IFERROR(INDEX('Fragrance Projects'!$D$5:$D$64,SUMPRODUCT(SMALL(IF((('Fragrance Projects'!$U$5:$U$64="No")*('Fragrance Projects'!$T$5:$T$64="Yes")),ROW('Fragrance Projects'!$U$5:$U$64)-ROW(INDEX('Fragrance Projects'!$U$5:$U$64,1))+1),3))),"")&amp;"; ",""))-2))</f>
        <v/>
      </c>
      <c r="D75" s="18"/>
      <c r="E75" s="18"/>
      <c r="F75" s="18"/>
    </row>
    <row r="76" customFormat="false" ht="19.5" hidden="false" customHeight="true" outlineLevel="0" collapsed="false">
      <c r="A76" s="46" t="s">
        <v>361</v>
      </c>
      <c r="B76" s="20" t="n">
        <f aca="false">COUNTIF(Payments!$N$5:$N$64,"Overdue")+COUNTIF(Payments!$N$5:$N$64,"Awaiting Deposit")</f>
        <v>0</v>
      </c>
      <c r="C76" s="18" t="str">
        <f aca="false">IF(LEN(IF(LEN(IFERROR(INDEX(Payments!$A$5:$A$64,SUMPRODUCT(SMALL(IF((((Payments!$N$5:$N$64="Overdue")+(Payments!$N$5:$N$64="Awaiting Deposit"))),ROW(Payments!$N$5:$N$64)-ROW(INDEX(Payments!$N$5:$N$64,1))+1),1))),""))&gt;0,IFERROR(INDEX(Payments!$A$5:$A$64,SUMPRODUCT(SMALL(IF((((Payments!$N$5:$N$64="Overdue")+(Payments!$N$5:$N$64="Awaiting Deposit"))),ROW(Payments!$N$5:$N$64)-ROW(INDEX(Payments!$N$5:$N$64,1))+1),1))),"")&amp;"; ","")&amp;IF(LEN(IFERROR(INDEX(Payments!$A$5:$A$64,SUMPRODUCT(SMALL(IF((((Payments!$N$5:$N$64="Overdue")+(Payments!$N$5:$N$64="Awaiting Deposit"))),ROW(Payments!$N$5:$N$64)-ROW(INDEX(Payments!$N$5:$N$64,1))+1),2))),""))&gt;0,IFERROR(INDEX(Payments!$A$5:$A$64,SUMPRODUCT(SMALL(IF((((Payments!$N$5:$N$64="Overdue")+(Payments!$N$5:$N$64="Awaiting Deposit"))),ROW(Payments!$N$5:$N$64)-ROW(INDEX(Payments!$N$5:$N$64,1))+1),2))),"")&amp;"; ","")&amp;IF(LEN(IFERROR(INDEX(Payments!$A$5:$A$64,SUMPRODUCT(SMALL(IF((((Payments!$N$5:$N$64="Overdue")+(Payments!$N$5:$N$64="Awaiting Deposit"))),ROW(Payments!$N$5:$N$64)-ROW(INDEX(Payments!$N$5:$N$64,1))+1),3))),""))&gt;0,IFERROR(INDEX(Payments!$A$5:$A$64,SUMPRODUCT(SMALL(IF((((Payments!$N$5:$N$64="Overdue")+(Payments!$N$5:$N$64="Awaiting Deposit"))),ROW(Payments!$N$5:$N$64)-ROW(INDEX(Payments!$N$5:$N$64,1))+1),3))),"")&amp;"; ",""))=0,"",LEFT(IF(LEN(IFERROR(INDEX(Payments!$A$5:$A$64,SUMPRODUCT(SMALL(IF((((Payments!$N$5:$N$64="Overdue")+(Payments!$N$5:$N$64="Awaiting Deposit"))),ROW(Payments!$N$5:$N$64)-ROW(INDEX(Payments!$N$5:$N$64,1))+1),1))),""))&gt;0,IFERROR(INDEX(Payments!$A$5:$A$64,SUMPRODUCT(SMALL(IF((((Payments!$N$5:$N$64="Overdue")+(Payments!$N$5:$N$64="Awaiting Deposit"))),ROW(Payments!$N$5:$N$64)-ROW(INDEX(Payments!$N$5:$N$64,1))+1),1))),"")&amp;"; ","")&amp;IF(LEN(IFERROR(INDEX(Payments!$A$5:$A$64,SUMPRODUCT(SMALL(IF((((Payments!$N$5:$N$64="Overdue")+(Payments!$N$5:$N$64="Awaiting Deposit"))),ROW(Payments!$N$5:$N$64)-ROW(INDEX(Payments!$N$5:$N$64,1))+1),2))),""))&gt;0,IFERROR(INDEX(Payments!$A$5:$A$64,SUMPRODUCT(SMALL(IF((((Payments!$N$5:$N$64="Overdue")+(Payments!$N$5:$N$64="Awaiting Deposit"))),ROW(Payments!$N$5:$N$64)-ROW(INDEX(Payments!$N$5:$N$64,1))+1),2))),"")&amp;"; ","")&amp;IF(LEN(IFERROR(INDEX(Payments!$A$5:$A$64,SUMPRODUCT(SMALL(IF((((Payments!$N$5:$N$64="Overdue")+(Payments!$N$5:$N$64="Awaiting Deposit"))),ROW(Payments!$N$5:$N$64)-ROW(INDEX(Payments!$N$5:$N$64,1))+1),3))),""))&gt;0,IFERROR(INDEX(Payments!$A$5:$A$64,SUMPRODUCT(SMALL(IF((((Payments!$N$5:$N$64="Overdue")+(Payments!$N$5:$N$64="Awaiting Deposit"))),ROW(Payments!$N$5:$N$64)-ROW(INDEX(Payments!$N$5:$N$64,1))+1),3))),"")&amp;"; ",""),LEN(IF(LEN(IFERROR(INDEX(Payments!$A$5:$A$64,SUMPRODUCT(SMALL(IF((((Payments!$N$5:$N$64="Overdue")+(Payments!$N$5:$N$64="Awaiting Deposit"))),ROW(Payments!$N$5:$N$64)-ROW(INDEX(Payments!$N$5:$N$64,1))+1),1))),""))&gt;0,IFERROR(INDEX(Payments!$A$5:$A$64,SUMPRODUCT(SMALL(IF((((Payments!$N$5:$N$64="Overdue")+(Payments!$N$5:$N$64="Awaiting Deposit"))),ROW(Payments!$N$5:$N$64)-ROW(INDEX(Payments!$N$5:$N$64,1))+1),1))),"")&amp;"; ","")&amp;IF(LEN(IFERROR(INDEX(Payments!$A$5:$A$64,SUMPRODUCT(SMALL(IF((((Payments!$N$5:$N$64="Overdue")+(Payments!$N$5:$N$64="Awaiting Deposit"))),ROW(Payments!$N$5:$N$64)-ROW(INDEX(Payments!$N$5:$N$64,1))+1),2))),""))&gt;0,IFERROR(INDEX(Payments!$A$5:$A$64,SUMPRODUCT(SMALL(IF((((Payments!$N$5:$N$64="Overdue")+(Payments!$N$5:$N$64="Awaiting Deposit"))),ROW(Payments!$N$5:$N$64)-ROW(INDEX(Payments!$N$5:$N$64,1))+1),2))),"")&amp;"; ","")&amp;IF(LEN(IFERROR(INDEX(Payments!$A$5:$A$64,SUMPRODUCT(SMALL(IF((((Payments!$N$5:$N$64="Overdue")+(Payments!$N$5:$N$64="Awaiting Deposit"))),ROW(Payments!$N$5:$N$64)-ROW(INDEX(Payments!$N$5:$N$64,1))+1),3))),""))&gt;0,IFERROR(INDEX(Payments!$A$5:$A$64,SUMPRODUCT(SMALL(IF((((Payments!$N$5:$N$64="Overdue")+(Payments!$N$5:$N$64="Awaiting Deposit"))),ROW(Payments!$N$5:$N$64)-ROW(INDEX(Payments!$N$5:$N$64,1))+1),3))),"")&amp;"; ",""))-2))</f>
        <v/>
      </c>
      <c r="D76" s="18"/>
      <c r="E76" s="18"/>
      <c r="F76" s="18"/>
    </row>
  </sheetData>
  <sheetProtection sheet="true" formatCells="false" formatColumns="false" formatRows="false" insertRows="false" sort="false" autoFilter="false"/>
  <mergeCells count="14">
    <mergeCell ref="A1:M1"/>
    <mergeCell ref="A2:M2"/>
    <mergeCell ref="B3:C3"/>
    <mergeCell ref="F3:G3"/>
    <mergeCell ref="J3:K3"/>
    <mergeCell ref="A67:F67"/>
    <mergeCell ref="C69:F69"/>
    <mergeCell ref="C70:F70"/>
    <mergeCell ref="C71:F71"/>
    <mergeCell ref="C72:F72"/>
    <mergeCell ref="C73:F73"/>
    <mergeCell ref="C74:F74"/>
    <mergeCell ref="C75:F75"/>
    <mergeCell ref="C76:F76"/>
  </mergeCells>
  <conditionalFormatting sqref="L5:L64">
    <cfRule type="expression" priority="2" aboveAverage="0" equalAverage="0" bottom="0" percent="0" rank="0" text="" dxfId="2">
      <formula>AND(L5&lt;&gt;"",L5&gt;=55)</formula>
    </cfRule>
    <cfRule type="expression" priority="3" aboveAverage="0" equalAverage="0" bottom="0" percent="0" rank="0" text="" dxfId="3">
      <formula>AND(L5&gt;=30,L5&lt;55)</formula>
    </cfRule>
    <cfRule type="expression" priority="4" aboveAverage="0" equalAverage="0" bottom="0" percent="0" rank="0" text="" dxfId="5">
      <formula>AND(L5&gt;0,L5&lt;30)</formula>
    </cfRule>
  </conditionalFormatting>
  <conditionalFormatting sqref="G5:G64">
    <cfRule type="cellIs" priority="5" operator="lessThan" aboveAverage="0" equalAverage="0" bottom="0" percent="0" rank="0" text="" dxfId="2">
      <formula>0</formula>
    </cfRule>
    <cfRule type="expression" priority="6" aboveAverage="0" equalAverage="0" bottom="0" percent="0" rank="0" text="" dxfId="3">
      <formula>AND(G5&gt;=0,G5&lt;=7)</formula>
    </cfRule>
  </conditionalFormatting>
  <conditionalFormatting sqref="B70:B76">
    <cfRule type="cellIs" priority="7" operator="greaterThan" aboveAverage="0" equalAverage="0" bottom="0" percent="0" rank="0" text="" dxfId="16">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5"/>
    <col collapsed="false" customWidth="true" hidden="false" outlineLevel="0" max="3" min="3" style="3" width="20"/>
    <col collapsed="false" customWidth="true" hidden="false" outlineLevel="0" max="7" min="4" style="3" width="13"/>
    <col collapsed="false" customWidth="true" hidden="false" outlineLevel="0" max="8" min="8" style="3" width="10"/>
    <col collapsed="false" customWidth="true" hidden="false" outlineLevel="0" max="20" min="9" style="3" width="13"/>
    <col collapsed="false" customWidth="true" hidden="false" outlineLevel="0" max="21" min="21" style="3" width="9"/>
    <col collapsed="false" customWidth="true" hidden="false" outlineLevel="0" max="22" min="22" style="3" width="38"/>
    <col collapsed="false" customWidth="true" hidden="true" outlineLevel="0" max="27" min="23" style="3" width="13"/>
  </cols>
  <sheetData>
    <row r="1" customFormat="false" ht="33.75" hidden="false" customHeight="true" outlineLevel="0" collapsed="false">
      <c r="A1" s="4" t="s">
        <v>362</v>
      </c>
      <c r="B1" s="4"/>
      <c r="C1" s="4"/>
      <c r="D1" s="4"/>
      <c r="E1" s="4"/>
      <c r="F1" s="4"/>
      <c r="G1" s="4"/>
      <c r="H1" s="4"/>
      <c r="I1" s="4"/>
      <c r="J1" s="4"/>
      <c r="K1" s="4"/>
      <c r="L1" s="4"/>
      <c r="M1" s="4"/>
      <c r="N1" s="4"/>
      <c r="O1" s="4"/>
      <c r="P1" s="4"/>
      <c r="Q1" s="4"/>
      <c r="R1" s="4"/>
      <c r="S1" s="4"/>
      <c r="T1" s="4"/>
      <c r="U1" s="4"/>
      <c r="V1" s="4"/>
    </row>
    <row r="2" customFormat="false" ht="19.5" hidden="false" customHeight="true" outlineLevel="0" collapsed="false">
      <c r="A2" s="25" t="s">
        <v>363</v>
      </c>
      <c r="B2" s="25"/>
      <c r="C2" s="25"/>
      <c r="D2" s="25"/>
      <c r="E2" s="25"/>
      <c r="F2" s="25"/>
      <c r="G2" s="25"/>
      <c r="H2" s="25"/>
      <c r="I2" s="25"/>
      <c r="J2" s="25"/>
      <c r="K2" s="25"/>
      <c r="L2" s="25"/>
      <c r="M2" s="25"/>
      <c r="N2" s="25"/>
      <c r="O2" s="25"/>
      <c r="P2" s="25"/>
      <c r="Q2" s="25"/>
      <c r="R2" s="25"/>
      <c r="S2" s="25"/>
      <c r="T2" s="25"/>
      <c r="U2" s="25"/>
      <c r="V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50</v>
      </c>
      <c r="C4" s="17" t="s">
        <v>157</v>
      </c>
      <c r="D4" s="17" t="s">
        <v>364</v>
      </c>
      <c r="E4" s="17" t="s">
        <v>365</v>
      </c>
      <c r="F4" s="17" t="s">
        <v>196</v>
      </c>
      <c r="G4" s="17" t="s">
        <v>366</v>
      </c>
      <c r="H4" s="17" t="s">
        <v>367</v>
      </c>
      <c r="I4" s="17" t="s">
        <v>368</v>
      </c>
      <c r="J4" s="17" t="s">
        <v>369</v>
      </c>
      <c r="K4" s="17" t="s">
        <v>370</v>
      </c>
      <c r="L4" s="17" t="s">
        <v>371</v>
      </c>
      <c r="M4" s="17" t="s">
        <v>372</v>
      </c>
      <c r="N4" s="17" t="s">
        <v>373</v>
      </c>
      <c r="O4" s="17" t="s">
        <v>374</v>
      </c>
      <c r="P4" s="17" t="s">
        <v>375</v>
      </c>
      <c r="Q4" s="17" t="s">
        <v>376</v>
      </c>
      <c r="R4" s="17" t="s">
        <v>377</v>
      </c>
      <c r="S4" s="17" t="s">
        <v>378</v>
      </c>
      <c r="T4" s="17" t="s">
        <v>379</v>
      </c>
      <c r="U4" s="17" t="s">
        <v>380</v>
      </c>
      <c r="V4" s="17" t="s">
        <v>381</v>
      </c>
    </row>
    <row r="5" customFormat="false" ht="21.75" hidden="false" customHeight="true" outlineLevel="0" collapsed="false">
      <c r="A5" s="30"/>
      <c r="B5" s="20" t="str">
        <f aca="false">IF($A5="","",IFERROR(INDEX('Fragrance Projects'!$C$5:$C$64,MATCH($A5,'Fragrance Projects'!$A$5:$A$64,0)),""))</f>
        <v/>
      </c>
      <c r="C5" s="20" t="str">
        <f aca="false">IF($A5="","",IFERROR(INDEX('Fragrance Projects'!$D$5:$D$64,MATCH($A5,'Fragrance Projects'!$A$5:$A$64,0)),""))</f>
        <v/>
      </c>
      <c r="D5" s="30"/>
      <c r="E5" s="30"/>
      <c r="F5" s="20" t="str">
        <f aca="false">IF($A5="","",IFERROR(INDEX(Clients!$R$5:$R$44,MATCH($W5,Clients!$A$5:$A$44,0)),""))</f>
        <v/>
      </c>
      <c r="G5" s="20" t="str">
        <f aca="false">IF($A5="","",IF(IFERROR(INDEX(Payments!$G$5:$G$64,MATCH($A5,Payments!$B$5:$B$64,0)),0)&gt;0,"Yes","No"))</f>
        <v/>
      </c>
      <c r="H5" s="20" t="str">
        <f aca="false">IF($A5="","",IFERROR(INDEX('Fragrance Projects'!$L$5:$L$64,MATCH($A5,'Fragrance Projects'!$A$5:$A$64,0)),""))</f>
        <v/>
      </c>
      <c r="I5" s="20" t="str">
        <f aca="false">IF($A5="","",IF(AND(IFERROR(INDEX(Clients!$T$5:$T$44,MATCH($W5,Clients!$A$5:$A$44,0)),"")&lt;&gt;"",IFERROR(INDEX(Clients!$T$5:$T$44,MATCH($W5,Clients!$A$5:$A$44,0)),"")&lt;&gt;"Not Yet Agreed"),"Yes","No"))</f>
        <v/>
      </c>
      <c r="J5" s="30"/>
      <c r="K5" s="30"/>
      <c r="L5" s="30"/>
      <c r="M5" s="30"/>
      <c r="N5" s="30"/>
      <c r="O5" s="20" t="str">
        <f aca="false">IF($A5="","",IF(AND($Y5&lt;&gt;"",$Y5&gt;0,$X5&gt;0.4*$Y5),"Yes","No"))</f>
        <v/>
      </c>
      <c r="P5" s="20" t="str">
        <f aca="false">IF($A5="","",IF(AND($Z5&lt;&gt;"",$Z5&lt;0.15),"Yes","No"))</f>
        <v/>
      </c>
      <c r="Q5" s="20" t="str">
        <f aca="false">IF($A5="","",IF($AA5="Overdue","Yes","No"))</f>
        <v/>
      </c>
      <c r="R5" s="30"/>
      <c r="S5" s="30"/>
      <c r="T5" s="30"/>
      <c r="U5" s="20" t="str">
        <f aca="false">IF($A5="","",_xlfn.IFS((IF($D5="No",1,0)+IF($E5="No",1,0)+IF($F5="No",1,0)+IF($G5="No",1,0)+IF($I5="No",1,0)+IF($J5="No",1,0)+IF($K5="No",1,0)+IF($L5="Yes",1,0)+IF($M5="Yes",1,0)+IF($N5="Yes",1,0)+IF($O5="Yes",1,0)+IF($P5="Yes",1,0)+IF($Q5="Yes",1,0)+IF($R5="Yes",1,0)+IF($S5="No",1,0)+IF($T5="No",1,0))&lt;=2,"LOW",(IF($D5="No",1,0)+IF($E5="No",1,0)+IF($F5="No",1,0)+IF($G5="No",1,0)+IF($I5="No",1,0)+IF($J5="No",1,0)+IF($K5="No",1,0)+IF($L5="Yes",1,0)+IF($M5="Yes",1,0)+IF($N5="Yes",1,0)+IF($O5="Yes",1,0)+IF($P5="Yes",1,0)+IF($Q5="Yes",1,0)+IF($R5="Yes",1,0)+IF($S5="No",1,0)+IF($T5="No",1,0))&lt;=5,"MEDIUM",TRUE(),"HIGH"))</f>
        <v/>
      </c>
      <c r="V5" s="19" t="str">
        <f aca="false">IF($A5="","",IF(LEN(IF($D5="No","Scope undefined; ","")&amp;IF($E5="No","Brief unclear; ","")&amp;IF($F5="No","Contract not signed; ","")&amp;IF($G5="No","Deposit unpaid; ","")&amp;IF($I5="No","Ownership not agreed; ","")&amp;IF($J5="No","Deadline unrealistic; ","")&amp;IF($K5="No","Slow client response; ","")&amp;IF($L5="Yes","Brief keeps changing; ","")&amp;IF($M5="Yes","Extra work requested; ","")&amp;IF($N5="Yes","Exceeding expected hours; ","")&amp;IF($O5="Yes","Expenses over budget; ","")&amp;IF($P5="Yes","Margin too low; ","")&amp;IF($Q5="Yes","Payment overdue; ","")&amp;IF($R5="Yes","Scope creep; ","")&amp;IF($S5="No","Compliance unclear; ","")&amp;IF($T5="No","Manufacturing handover unclear; ",""))=0,"None — healthy",LEFT(IF($D5="No","Scope undefined; ","")&amp;IF($E5="No","Brief unclear; ","")&amp;IF($F5="No","Contract not signed; ","")&amp;IF($G5="No","Deposit unpaid; ","")&amp;IF($I5="No","Ownership not agreed; ","")&amp;IF($J5="No","Deadline unrealistic; ","")&amp;IF($K5="No","Slow client response; ","")&amp;IF($L5="Yes","Brief keeps changing; ","")&amp;IF($M5="Yes","Extra work requested; ","")&amp;IF($N5="Yes","Exceeding expected hours; ","")&amp;IF($O5="Yes","Expenses over budget; ","")&amp;IF($P5="Yes","Margin too low; ","")&amp;IF($Q5="Yes","Payment overdue; ","")&amp;IF($R5="Yes","Scope creep; ","")&amp;IF($S5="No","Compliance unclear; ","")&amp;IF($T5="No","Manufacturing handover unclear; ",""),LEN(IF($D5="No","Scope undefined; ","")&amp;IF($E5="No","Brief unclear; ","")&amp;IF($F5="No","Contract not signed; ","")&amp;IF($G5="No","Deposit unpaid; ","")&amp;IF($I5="No","Ownership not agreed; ","")&amp;IF($J5="No","Deadline unrealistic; ","")&amp;IF($K5="No","Slow client response; ","")&amp;IF($L5="Yes","Brief keeps changing; ","")&amp;IF($M5="Yes","Extra work requested; ","")&amp;IF($N5="Yes","Exceeding expected hours; ","")&amp;IF($O5="Yes","Expenses over budget; ","")&amp;IF($P5="Yes","Margin too low; ","")&amp;IF($Q5="Yes","Payment overdue; ","")&amp;IF($R5="Yes","Scope creep; ","")&amp;IF($S5="No","Compliance unclear; ","")&amp;IF($T5="No","Manufacturing handover unclear; ",""))-2)))</f>
        <v/>
      </c>
      <c r="W5" s="39" t="str">
        <f aca="false">IF($A5="","",IFERROR(INDEX('Fragrance Projects'!$B$5:$B$64,MATCH($A5,'Fragrance Projects'!$A$5:$A$64,0)),""))</f>
        <v/>
      </c>
      <c r="X5" s="39" t="str">
        <f aca="false">IF($A5="","",IFERROR(INDEX('Project Financials'!$U$5:$U$64,MATCH($A5,'Project Financials'!$A$5:$A$64,0)),""))</f>
        <v/>
      </c>
      <c r="Y5" s="39" t="str">
        <f aca="false">IF($A5="","",IFERROR(INDEX('Project Financials'!$D$5:$D$64,MATCH($A5,'Project Financials'!$A$5:$A$64,0)),""))</f>
        <v/>
      </c>
      <c r="Z5" s="39" t="str">
        <f aca="false">IF($A5="","",IFERROR(INDEX('Project Financials'!$AC$5:$AC$64,MATCH($A5,'Project Financials'!$A$5:$A$64,0)),""))</f>
        <v/>
      </c>
      <c r="AA5" s="39" t="str">
        <f aca="false">IF($A5="","",IFERROR(INDEX(Payments!$N$5:$N$64,MATCH($A5,Payments!$B$5:$B$64,0)),""))</f>
        <v/>
      </c>
    </row>
    <row r="6" customFormat="false" ht="21.75" hidden="false" customHeight="true" outlineLevel="0" collapsed="false">
      <c r="A6" s="30"/>
      <c r="B6" s="20" t="str">
        <f aca="false">IF($A6="","",IFERROR(INDEX('Fragrance Projects'!$C$5:$C$64,MATCH($A6,'Fragrance Projects'!$A$5:$A$64,0)),""))</f>
        <v/>
      </c>
      <c r="C6" s="20" t="str">
        <f aca="false">IF($A6="","",IFERROR(INDEX('Fragrance Projects'!$D$5:$D$64,MATCH($A6,'Fragrance Projects'!$A$5:$A$64,0)),""))</f>
        <v/>
      </c>
      <c r="D6" s="30"/>
      <c r="E6" s="30"/>
      <c r="F6" s="20" t="str">
        <f aca="false">IF($A6="","",IFERROR(INDEX(Clients!$R$5:$R$44,MATCH($W6,Clients!$A$5:$A$44,0)),""))</f>
        <v/>
      </c>
      <c r="G6" s="20" t="str">
        <f aca="false">IF($A6="","",IF(IFERROR(INDEX(Payments!$G$5:$G$64,MATCH($A6,Payments!$B$5:$B$64,0)),0)&gt;0,"Yes","No"))</f>
        <v/>
      </c>
      <c r="H6" s="20" t="str">
        <f aca="false">IF($A6="","",IFERROR(INDEX('Fragrance Projects'!$L$5:$L$64,MATCH($A6,'Fragrance Projects'!$A$5:$A$64,0)),""))</f>
        <v/>
      </c>
      <c r="I6" s="20" t="str">
        <f aca="false">IF($A6="","",IF(AND(IFERROR(INDEX(Clients!$T$5:$T$44,MATCH($W6,Clients!$A$5:$A$44,0)),"")&lt;&gt;"",IFERROR(INDEX(Clients!$T$5:$T$44,MATCH($W6,Clients!$A$5:$A$44,0)),"")&lt;&gt;"Not Yet Agreed"),"Yes","No"))</f>
        <v/>
      </c>
      <c r="J6" s="30"/>
      <c r="K6" s="30"/>
      <c r="L6" s="30"/>
      <c r="M6" s="30"/>
      <c r="N6" s="30"/>
      <c r="O6" s="20" t="str">
        <f aca="false">IF($A6="","",IF(AND($Y6&lt;&gt;"",$Y6&gt;0,$X6&gt;0.4*$Y6),"Yes","No"))</f>
        <v/>
      </c>
      <c r="P6" s="20" t="str">
        <f aca="false">IF($A6="","",IF(AND($Z6&lt;&gt;"",$Z6&lt;0.15),"Yes","No"))</f>
        <v/>
      </c>
      <c r="Q6" s="20" t="str">
        <f aca="false">IF($A6="","",IF($AA6="Overdue","Yes","No"))</f>
        <v/>
      </c>
      <c r="R6" s="30"/>
      <c r="S6" s="30"/>
      <c r="T6" s="30"/>
      <c r="U6" s="20" t="str">
        <f aca="false">IF($A6="","",_xlfn.IFS((IF($D6="No",1,0)+IF($E6="No",1,0)+IF($F6="No",1,0)+IF($G6="No",1,0)+IF($I6="No",1,0)+IF($J6="No",1,0)+IF($K6="No",1,0)+IF($L6="Yes",1,0)+IF($M6="Yes",1,0)+IF($N6="Yes",1,0)+IF($O6="Yes",1,0)+IF($P6="Yes",1,0)+IF($Q6="Yes",1,0)+IF($R6="Yes",1,0)+IF($S6="No",1,0)+IF($T6="No",1,0))&lt;=2,"LOW",(IF($D6="No",1,0)+IF($E6="No",1,0)+IF($F6="No",1,0)+IF($G6="No",1,0)+IF($I6="No",1,0)+IF($J6="No",1,0)+IF($K6="No",1,0)+IF($L6="Yes",1,0)+IF($M6="Yes",1,0)+IF($N6="Yes",1,0)+IF($O6="Yes",1,0)+IF($P6="Yes",1,0)+IF($Q6="Yes",1,0)+IF($R6="Yes",1,0)+IF($S6="No",1,0)+IF($T6="No",1,0))&lt;=5,"MEDIUM",TRUE(),"HIGH"))</f>
        <v/>
      </c>
      <c r="V6" s="19" t="str">
        <f aca="false">IF($A6="","",IF(LEN(IF($D6="No","Scope undefined; ","")&amp;IF($E6="No","Brief unclear; ","")&amp;IF($F6="No","Contract not signed; ","")&amp;IF($G6="No","Deposit unpaid; ","")&amp;IF($I6="No","Ownership not agreed; ","")&amp;IF($J6="No","Deadline unrealistic; ","")&amp;IF($K6="No","Slow client response; ","")&amp;IF($L6="Yes","Brief keeps changing; ","")&amp;IF($M6="Yes","Extra work requested; ","")&amp;IF($N6="Yes","Exceeding expected hours; ","")&amp;IF($O6="Yes","Expenses over budget; ","")&amp;IF($P6="Yes","Margin too low; ","")&amp;IF($Q6="Yes","Payment overdue; ","")&amp;IF($R6="Yes","Scope creep; ","")&amp;IF($S6="No","Compliance unclear; ","")&amp;IF($T6="No","Manufacturing handover unclear; ",""))=0,"None — healthy",LEFT(IF($D6="No","Scope undefined; ","")&amp;IF($E6="No","Brief unclear; ","")&amp;IF($F6="No","Contract not signed; ","")&amp;IF($G6="No","Deposit unpaid; ","")&amp;IF($I6="No","Ownership not agreed; ","")&amp;IF($J6="No","Deadline unrealistic; ","")&amp;IF($K6="No","Slow client response; ","")&amp;IF($L6="Yes","Brief keeps changing; ","")&amp;IF($M6="Yes","Extra work requested; ","")&amp;IF($N6="Yes","Exceeding expected hours; ","")&amp;IF($O6="Yes","Expenses over budget; ","")&amp;IF($P6="Yes","Margin too low; ","")&amp;IF($Q6="Yes","Payment overdue; ","")&amp;IF($R6="Yes","Scope creep; ","")&amp;IF($S6="No","Compliance unclear; ","")&amp;IF($T6="No","Manufacturing handover unclear; ",""),LEN(IF($D6="No","Scope undefined; ","")&amp;IF($E6="No","Brief unclear; ","")&amp;IF($F6="No","Contract not signed; ","")&amp;IF($G6="No","Deposit unpaid; ","")&amp;IF($I6="No","Ownership not agreed; ","")&amp;IF($J6="No","Deadline unrealistic; ","")&amp;IF($K6="No","Slow client response; ","")&amp;IF($L6="Yes","Brief keeps changing; ","")&amp;IF($M6="Yes","Extra work requested; ","")&amp;IF($N6="Yes","Exceeding expected hours; ","")&amp;IF($O6="Yes","Expenses over budget; ","")&amp;IF($P6="Yes","Margin too low; ","")&amp;IF($Q6="Yes","Payment overdue; ","")&amp;IF($R6="Yes","Scope creep; ","")&amp;IF($S6="No","Compliance unclear; ","")&amp;IF($T6="No","Manufacturing handover unclear; ",""))-2)))</f>
        <v/>
      </c>
      <c r="W6" s="39" t="str">
        <f aca="false">IF($A6="","",IFERROR(INDEX('Fragrance Projects'!$B$5:$B$64,MATCH($A6,'Fragrance Projects'!$A$5:$A$64,0)),""))</f>
        <v/>
      </c>
      <c r="X6" s="39" t="str">
        <f aca="false">IF($A6="","",IFERROR(INDEX('Project Financials'!$U$5:$U$64,MATCH($A6,'Project Financials'!$A$5:$A$64,0)),""))</f>
        <v/>
      </c>
      <c r="Y6" s="39" t="str">
        <f aca="false">IF($A6="","",IFERROR(INDEX('Project Financials'!$D$5:$D$64,MATCH($A6,'Project Financials'!$A$5:$A$64,0)),""))</f>
        <v/>
      </c>
      <c r="Z6" s="39" t="str">
        <f aca="false">IF($A6="","",IFERROR(INDEX('Project Financials'!$AC$5:$AC$64,MATCH($A6,'Project Financials'!$A$5:$A$64,0)),""))</f>
        <v/>
      </c>
      <c r="AA6" s="39" t="str">
        <f aca="false">IF($A6="","",IFERROR(INDEX(Payments!$N$5:$N$64,MATCH($A6,Payments!$B$5:$B$64,0)),""))</f>
        <v/>
      </c>
    </row>
    <row r="7" customFormat="false" ht="21.75" hidden="false" customHeight="true" outlineLevel="0" collapsed="false">
      <c r="A7" s="30"/>
      <c r="B7" s="20" t="str">
        <f aca="false">IF($A7="","",IFERROR(INDEX('Fragrance Projects'!$C$5:$C$64,MATCH($A7,'Fragrance Projects'!$A$5:$A$64,0)),""))</f>
        <v/>
      </c>
      <c r="C7" s="20" t="str">
        <f aca="false">IF($A7="","",IFERROR(INDEX('Fragrance Projects'!$D$5:$D$64,MATCH($A7,'Fragrance Projects'!$A$5:$A$64,0)),""))</f>
        <v/>
      </c>
      <c r="D7" s="30"/>
      <c r="E7" s="30"/>
      <c r="F7" s="20" t="str">
        <f aca="false">IF($A7="","",IFERROR(INDEX(Clients!$R$5:$R$44,MATCH($W7,Clients!$A$5:$A$44,0)),""))</f>
        <v/>
      </c>
      <c r="G7" s="20" t="str">
        <f aca="false">IF($A7="","",IF(IFERROR(INDEX(Payments!$G$5:$G$64,MATCH($A7,Payments!$B$5:$B$64,0)),0)&gt;0,"Yes","No"))</f>
        <v/>
      </c>
      <c r="H7" s="20" t="str">
        <f aca="false">IF($A7="","",IFERROR(INDEX('Fragrance Projects'!$L$5:$L$64,MATCH($A7,'Fragrance Projects'!$A$5:$A$64,0)),""))</f>
        <v/>
      </c>
      <c r="I7" s="20" t="str">
        <f aca="false">IF($A7="","",IF(AND(IFERROR(INDEX(Clients!$T$5:$T$44,MATCH($W7,Clients!$A$5:$A$44,0)),"")&lt;&gt;"",IFERROR(INDEX(Clients!$T$5:$T$44,MATCH($W7,Clients!$A$5:$A$44,0)),"")&lt;&gt;"Not Yet Agreed"),"Yes","No"))</f>
        <v/>
      </c>
      <c r="J7" s="30"/>
      <c r="K7" s="30"/>
      <c r="L7" s="30"/>
      <c r="M7" s="30"/>
      <c r="N7" s="30"/>
      <c r="O7" s="20" t="str">
        <f aca="false">IF($A7="","",IF(AND($Y7&lt;&gt;"",$Y7&gt;0,$X7&gt;0.4*$Y7),"Yes","No"))</f>
        <v/>
      </c>
      <c r="P7" s="20" t="str">
        <f aca="false">IF($A7="","",IF(AND($Z7&lt;&gt;"",$Z7&lt;0.15),"Yes","No"))</f>
        <v/>
      </c>
      <c r="Q7" s="20" t="str">
        <f aca="false">IF($A7="","",IF($AA7="Overdue","Yes","No"))</f>
        <v/>
      </c>
      <c r="R7" s="30"/>
      <c r="S7" s="30"/>
      <c r="T7" s="30"/>
      <c r="U7" s="20" t="str">
        <f aca="false">IF($A7="","",_xlfn.IFS((IF($D7="No",1,0)+IF($E7="No",1,0)+IF($F7="No",1,0)+IF($G7="No",1,0)+IF($I7="No",1,0)+IF($J7="No",1,0)+IF($K7="No",1,0)+IF($L7="Yes",1,0)+IF($M7="Yes",1,0)+IF($N7="Yes",1,0)+IF($O7="Yes",1,0)+IF($P7="Yes",1,0)+IF($Q7="Yes",1,0)+IF($R7="Yes",1,0)+IF($S7="No",1,0)+IF($T7="No",1,0))&lt;=2,"LOW",(IF($D7="No",1,0)+IF($E7="No",1,0)+IF($F7="No",1,0)+IF($G7="No",1,0)+IF($I7="No",1,0)+IF($J7="No",1,0)+IF($K7="No",1,0)+IF($L7="Yes",1,0)+IF($M7="Yes",1,0)+IF($N7="Yes",1,0)+IF($O7="Yes",1,0)+IF($P7="Yes",1,0)+IF($Q7="Yes",1,0)+IF($R7="Yes",1,0)+IF($S7="No",1,0)+IF($T7="No",1,0))&lt;=5,"MEDIUM",TRUE(),"HIGH"))</f>
        <v/>
      </c>
      <c r="V7" s="19" t="str">
        <f aca="false">IF($A7="","",IF(LEN(IF($D7="No","Scope undefined; ","")&amp;IF($E7="No","Brief unclear; ","")&amp;IF($F7="No","Contract not signed; ","")&amp;IF($G7="No","Deposit unpaid; ","")&amp;IF($I7="No","Ownership not agreed; ","")&amp;IF($J7="No","Deadline unrealistic; ","")&amp;IF($K7="No","Slow client response; ","")&amp;IF($L7="Yes","Brief keeps changing; ","")&amp;IF($M7="Yes","Extra work requested; ","")&amp;IF($N7="Yes","Exceeding expected hours; ","")&amp;IF($O7="Yes","Expenses over budget; ","")&amp;IF($P7="Yes","Margin too low; ","")&amp;IF($Q7="Yes","Payment overdue; ","")&amp;IF($R7="Yes","Scope creep; ","")&amp;IF($S7="No","Compliance unclear; ","")&amp;IF($T7="No","Manufacturing handover unclear; ",""))=0,"None — healthy",LEFT(IF($D7="No","Scope undefined; ","")&amp;IF($E7="No","Brief unclear; ","")&amp;IF($F7="No","Contract not signed; ","")&amp;IF($G7="No","Deposit unpaid; ","")&amp;IF($I7="No","Ownership not agreed; ","")&amp;IF($J7="No","Deadline unrealistic; ","")&amp;IF($K7="No","Slow client response; ","")&amp;IF($L7="Yes","Brief keeps changing; ","")&amp;IF($M7="Yes","Extra work requested; ","")&amp;IF($N7="Yes","Exceeding expected hours; ","")&amp;IF($O7="Yes","Expenses over budget; ","")&amp;IF($P7="Yes","Margin too low; ","")&amp;IF($Q7="Yes","Payment overdue; ","")&amp;IF($R7="Yes","Scope creep; ","")&amp;IF($S7="No","Compliance unclear; ","")&amp;IF($T7="No","Manufacturing handover unclear; ",""),LEN(IF($D7="No","Scope undefined; ","")&amp;IF($E7="No","Brief unclear; ","")&amp;IF($F7="No","Contract not signed; ","")&amp;IF($G7="No","Deposit unpaid; ","")&amp;IF($I7="No","Ownership not agreed; ","")&amp;IF($J7="No","Deadline unrealistic; ","")&amp;IF($K7="No","Slow client response; ","")&amp;IF($L7="Yes","Brief keeps changing; ","")&amp;IF($M7="Yes","Extra work requested; ","")&amp;IF($N7="Yes","Exceeding expected hours; ","")&amp;IF($O7="Yes","Expenses over budget; ","")&amp;IF($P7="Yes","Margin too low; ","")&amp;IF($Q7="Yes","Payment overdue; ","")&amp;IF($R7="Yes","Scope creep; ","")&amp;IF($S7="No","Compliance unclear; ","")&amp;IF($T7="No","Manufacturing handover unclear; ",""))-2)))</f>
        <v/>
      </c>
      <c r="W7" s="39" t="str">
        <f aca="false">IF($A7="","",IFERROR(INDEX('Fragrance Projects'!$B$5:$B$64,MATCH($A7,'Fragrance Projects'!$A$5:$A$64,0)),""))</f>
        <v/>
      </c>
      <c r="X7" s="39" t="str">
        <f aca="false">IF($A7="","",IFERROR(INDEX('Project Financials'!$U$5:$U$64,MATCH($A7,'Project Financials'!$A$5:$A$64,0)),""))</f>
        <v/>
      </c>
      <c r="Y7" s="39" t="str">
        <f aca="false">IF($A7="","",IFERROR(INDEX('Project Financials'!$D$5:$D$64,MATCH($A7,'Project Financials'!$A$5:$A$64,0)),""))</f>
        <v/>
      </c>
      <c r="Z7" s="39" t="str">
        <f aca="false">IF($A7="","",IFERROR(INDEX('Project Financials'!$AC$5:$AC$64,MATCH($A7,'Project Financials'!$A$5:$A$64,0)),""))</f>
        <v/>
      </c>
      <c r="AA7" s="39" t="str">
        <f aca="false">IF($A7="","",IFERROR(INDEX(Payments!$N$5:$N$64,MATCH($A7,Payments!$B$5:$B$64,0)),""))</f>
        <v/>
      </c>
    </row>
    <row r="8" customFormat="false" ht="21.75" hidden="false" customHeight="true" outlineLevel="0" collapsed="false">
      <c r="A8" s="30"/>
      <c r="B8" s="20" t="str">
        <f aca="false">IF($A8="","",IFERROR(INDEX('Fragrance Projects'!$C$5:$C$64,MATCH($A8,'Fragrance Projects'!$A$5:$A$64,0)),""))</f>
        <v/>
      </c>
      <c r="C8" s="20" t="str">
        <f aca="false">IF($A8="","",IFERROR(INDEX('Fragrance Projects'!$D$5:$D$64,MATCH($A8,'Fragrance Projects'!$A$5:$A$64,0)),""))</f>
        <v/>
      </c>
      <c r="D8" s="30"/>
      <c r="E8" s="30"/>
      <c r="F8" s="20" t="str">
        <f aca="false">IF($A8="","",IFERROR(INDEX(Clients!$R$5:$R$44,MATCH($W8,Clients!$A$5:$A$44,0)),""))</f>
        <v/>
      </c>
      <c r="G8" s="20" t="str">
        <f aca="false">IF($A8="","",IF(IFERROR(INDEX(Payments!$G$5:$G$64,MATCH($A8,Payments!$B$5:$B$64,0)),0)&gt;0,"Yes","No"))</f>
        <v/>
      </c>
      <c r="H8" s="20" t="str">
        <f aca="false">IF($A8="","",IFERROR(INDEX('Fragrance Projects'!$L$5:$L$64,MATCH($A8,'Fragrance Projects'!$A$5:$A$64,0)),""))</f>
        <v/>
      </c>
      <c r="I8" s="20" t="str">
        <f aca="false">IF($A8="","",IF(AND(IFERROR(INDEX(Clients!$T$5:$T$44,MATCH($W8,Clients!$A$5:$A$44,0)),"")&lt;&gt;"",IFERROR(INDEX(Clients!$T$5:$T$44,MATCH($W8,Clients!$A$5:$A$44,0)),"")&lt;&gt;"Not Yet Agreed"),"Yes","No"))</f>
        <v/>
      </c>
      <c r="J8" s="30"/>
      <c r="K8" s="30"/>
      <c r="L8" s="30"/>
      <c r="M8" s="30"/>
      <c r="N8" s="30"/>
      <c r="O8" s="20" t="str">
        <f aca="false">IF($A8="","",IF(AND($Y8&lt;&gt;"",$Y8&gt;0,$X8&gt;0.4*$Y8),"Yes","No"))</f>
        <v/>
      </c>
      <c r="P8" s="20" t="str">
        <f aca="false">IF($A8="","",IF(AND($Z8&lt;&gt;"",$Z8&lt;0.15),"Yes","No"))</f>
        <v/>
      </c>
      <c r="Q8" s="20" t="str">
        <f aca="false">IF($A8="","",IF($AA8="Overdue","Yes","No"))</f>
        <v/>
      </c>
      <c r="R8" s="30"/>
      <c r="S8" s="30"/>
      <c r="T8" s="30"/>
      <c r="U8" s="20" t="str">
        <f aca="false">IF($A8="","",_xlfn.IFS((IF($D8="No",1,0)+IF($E8="No",1,0)+IF($F8="No",1,0)+IF($G8="No",1,0)+IF($I8="No",1,0)+IF($J8="No",1,0)+IF($K8="No",1,0)+IF($L8="Yes",1,0)+IF($M8="Yes",1,0)+IF($N8="Yes",1,0)+IF($O8="Yes",1,0)+IF($P8="Yes",1,0)+IF($Q8="Yes",1,0)+IF($R8="Yes",1,0)+IF($S8="No",1,0)+IF($T8="No",1,0))&lt;=2,"LOW",(IF($D8="No",1,0)+IF($E8="No",1,0)+IF($F8="No",1,0)+IF($G8="No",1,0)+IF($I8="No",1,0)+IF($J8="No",1,0)+IF($K8="No",1,0)+IF($L8="Yes",1,0)+IF($M8="Yes",1,0)+IF($N8="Yes",1,0)+IF($O8="Yes",1,0)+IF($P8="Yes",1,0)+IF($Q8="Yes",1,0)+IF($R8="Yes",1,0)+IF($S8="No",1,0)+IF($T8="No",1,0))&lt;=5,"MEDIUM",TRUE(),"HIGH"))</f>
        <v/>
      </c>
      <c r="V8" s="19" t="str">
        <f aca="false">IF($A8="","",IF(LEN(IF($D8="No","Scope undefined; ","")&amp;IF($E8="No","Brief unclear; ","")&amp;IF($F8="No","Contract not signed; ","")&amp;IF($G8="No","Deposit unpaid; ","")&amp;IF($I8="No","Ownership not agreed; ","")&amp;IF($J8="No","Deadline unrealistic; ","")&amp;IF($K8="No","Slow client response; ","")&amp;IF($L8="Yes","Brief keeps changing; ","")&amp;IF($M8="Yes","Extra work requested; ","")&amp;IF($N8="Yes","Exceeding expected hours; ","")&amp;IF($O8="Yes","Expenses over budget; ","")&amp;IF($P8="Yes","Margin too low; ","")&amp;IF($Q8="Yes","Payment overdue; ","")&amp;IF($R8="Yes","Scope creep; ","")&amp;IF($S8="No","Compliance unclear; ","")&amp;IF($T8="No","Manufacturing handover unclear; ",""))=0,"None — healthy",LEFT(IF($D8="No","Scope undefined; ","")&amp;IF($E8="No","Brief unclear; ","")&amp;IF($F8="No","Contract not signed; ","")&amp;IF($G8="No","Deposit unpaid; ","")&amp;IF($I8="No","Ownership not agreed; ","")&amp;IF($J8="No","Deadline unrealistic; ","")&amp;IF($K8="No","Slow client response; ","")&amp;IF($L8="Yes","Brief keeps changing; ","")&amp;IF($M8="Yes","Extra work requested; ","")&amp;IF($N8="Yes","Exceeding expected hours; ","")&amp;IF($O8="Yes","Expenses over budget; ","")&amp;IF($P8="Yes","Margin too low; ","")&amp;IF($Q8="Yes","Payment overdue; ","")&amp;IF($R8="Yes","Scope creep; ","")&amp;IF($S8="No","Compliance unclear; ","")&amp;IF($T8="No","Manufacturing handover unclear; ",""),LEN(IF($D8="No","Scope undefined; ","")&amp;IF($E8="No","Brief unclear; ","")&amp;IF($F8="No","Contract not signed; ","")&amp;IF($G8="No","Deposit unpaid; ","")&amp;IF($I8="No","Ownership not agreed; ","")&amp;IF($J8="No","Deadline unrealistic; ","")&amp;IF($K8="No","Slow client response; ","")&amp;IF($L8="Yes","Brief keeps changing; ","")&amp;IF($M8="Yes","Extra work requested; ","")&amp;IF($N8="Yes","Exceeding expected hours; ","")&amp;IF($O8="Yes","Expenses over budget; ","")&amp;IF($P8="Yes","Margin too low; ","")&amp;IF($Q8="Yes","Payment overdue; ","")&amp;IF($R8="Yes","Scope creep; ","")&amp;IF($S8="No","Compliance unclear; ","")&amp;IF($T8="No","Manufacturing handover unclear; ",""))-2)))</f>
        <v/>
      </c>
      <c r="W8" s="39" t="str">
        <f aca="false">IF($A8="","",IFERROR(INDEX('Fragrance Projects'!$B$5:$B$64,MATCH($A8,'Fragrance Projects'!$A$5:$A$64,0)),""))</f>
        <v/>
      </c>
      <c r="X8" s="39" t="str">
        <f aca="false">IF($A8="","",IFERROR(INDEX('Project Financials'!$U$5:$U$64,MATCH($A8,'Project Financials'!$A$5:$A$64,0)),""))</f>
        <v/>
      </c>
      <c r="Y8" s="39" t="str">
        <f aca="false">IF($A8="","",IFERROR(INDEX('Project Financials'!$D$5:$D$64,MATCH($A8,'Project Financials'!$A$5:$A$64,0)),""))</f>
        <v/>
      </c>
      <c r="Z8" s="39" t="str">
        <f aca="false">IF($A8="","",IFERROR(INDEX('Project Financials'!$AC$5:$AC$64,MATCH($A8,'Project Financials'!$A$5:$A$64,0)),""))</f>
        <v/>
      </c>
      <c r="AA8" s="39" t="str">
        <f aca="false">IF($A8="","",IFERROR(INDEX(Payments!$N$5:$N$64,MATCH($A8,Payments!$B$5:$B$64,0)),""))</f>
        <v/>
      </c>
    </row>
    <row r="9" customFormat="false" ht="21.75" hidden="false" customHeight="true" outlineLevel="0" collapsed="false">
      <c r="A9" s="30"/>
      <c r="B9" s="20" t="str">
        <f aca="false">IF($A9="","",IFERROR(INDEX('Fragrance Projects'!$C$5:$C$64,MATCH($A9,'Fragrance Projects'!$A$5:$A$64,0)),""))</f>
        <v/>
      </c>
      <c r="C9" s="20" t="str">
        <f aca="false">IF($A9="","",IFERROR(INDEX('Fragrance Projects'!$D$5:$D$64,MATCH($A9,'Fragrance Projects'!$A$5:$A$64,0)),""))</f>
        <v/>
      </c>
      <c r="D9" s="30"/>
      <c r="E9" s="30"/>
      <c r="F9" s="20" t="str">
        <f aca="false">IF($A9="","",IFERROR(INDEX(Clients!$R$5:$R$44,MATCH($W9,Clients!$A$5:$A$44,0)),""))</f>
        <v/>
      </c>
      <c r="G9" s="20" t="str">
        <f aca="false">IF($A9="","",IF(IFERROR(INDEX(Payments!$G$5:$G$64,MATCH($A9,Payments!$B$5:$B$64,0)),0)&gt;0,"Yes","No"))</f>
        <v/>
      </c>
      <c r="H9" s="20" t="str">
        <f aca="false">IF($A9="","",IFERROR(INDEX('Fragrance Projects'!$L$5:$L$64,MATCH($A9,'Fragrance Projects'!$A$5:$A$64,0)),""))</f>
        <v/>
      </c>
      <c r="I9" s="20" t="str">
        <f aca="false">IF($A9="","",IF(AND(IFERROR(INDEX(Clients!$T$5:$T$44,MATCH($W9,Clients!$A$5:$A$44,0)),"")&lt;&gt;"",IFERROR(INDEX(Clients!$T$5:$T$44,MATCH($W9,Clients!$A$5:$A$44,0)),"")&lt;&gt;"Not Yet Agreed"),"Yes","No"))</f>
        <v/>
      </c>
      <c r="J9" s="30"/>
      <c r="K9" s="30"/>
      <c r="L9" s="30"/>
      <c r="M9" s="30"/>
      <c r="N9" s="30"/>
      <c r="O9" s="20" t="str">
        <f aca="false">IF($A9="","",IF(AND($Y9&lt;&gt;"",$Y9&gt;0,$X9&gt;0.4*$Y9),"Yes","No"))</f>
        <v/>
      </c>
      <c r="P9" s="20" t="str">
        <f aca="false">IF($A9="","",IF(AND($Z9&lt;&gt;"",$Z9&lt;0.15),"Yes","No"))</f>
        <v/>
      </c>
      <c r="Q9" s="20" t="str">
        <f aca="false">IF($A9="","",IF($AA9="Overdue","Yes","No"))</f>
        <v/>
      </c>
      <c r="R9" s="30"/>
      <c r="S9" s="30"/>
      <c r="T9" s="30"/>
      <c r="U9" s="20" t="str">
        <f aca="false">IF($A9="","",_xlfn.IFS((IF($D9="No",1,0)+IF($E9="No",1,0)+IF($F9="No",1,0)+IF($G9="No",1,0)+IF($I9="No",1,0)+IF($J9="No",1,0)+IF($K9="No",1,0)+IF($L9="Yes",1,0)+IF($M9="Yes",1,0)+IF($N9="Yes",1,0)+IF($O9="Yes",1,0)+IF($P9="Yes",1,0)+IF($Q9="Yes",1,0)+IF($R9="Yes",1,0)+IF($S9="No",1,0)+IF($T9="No",1,0))&lt;=2,"LOW",(IF($D9="No",1,0)+IF($E9="No",1,0)+IF($F9="No",1,0)+IF($G9="No",1,0)+IF($I9="No",1,0)+IF($J9="No",1,0)+IF($K9="No",1,0)+IF($L9="Yes",1,0)+IF($M9="Yes",1,0)+IF($N9="Yes",1,0)+IF($O9="Yes",1,0)+IF($P9="Yes",1,0)+IF($Q9="Yes",1,0)+IF($R9="Yes",1,0)+IF($S9="No",1,0)+IF($T9="No",1,0))&lt;=5,"MEDIUM",TRUE(),"HIGH"))</f>
        <v/>
      </c>
      <c r="V9" s="19" t="str">
        <f aca="false">IF($A9="","",IF(LEN(IF($D9="No","Scope undefined; ","")&amp;IF($E9="No","Brief unclear; ","")&amp;IF($F9="No","Contract not signed; ","")&amp;IF($G9="No","Deposit unpaid; ","")&amp;IF($I9="No","Ownership not agreed; ","")&amp;IF($J9="No","Deadline unrealistic; ","")&amp;IF($K9="No","Slow client response; ","")&amp;IF($L9="Yes","Brief keeps changing; ","")&amp;IF($M9="Yes","Extra work requested; ","")&amp;IF($N9="Yes","Exceeding expected hours; ","")&amp;IF($O9="Yes","Expenses over budget; ","")&amp;IF($P9="Yes","Margin too low; ","")&amp;IF($Q9="Yes","Payment overdue; ","")&amp;IF($R9="Yes","Scope creep; ","")&amp;IF($S9="No","Compliance unclear; ","")&amp;IF($T9="No","Manufacturing handover unclear; ",""))=0,"None — healthy",LEFT(IF($D9="No","Scope undefined; ","")&amp;IF($E9="No","Brief unclear; ","")&amp;IF($F9="No","Contract not signed; ","")&amp;IF($G9="No","Deposit unpaid; ","")&amp;IF($I9="No","Ownership not agreed; ","")&amp;IF($J9="No","Deadline unrealistic; ","")&amp;IF($K9="No","Slow client response; ","")&amp;IF($L9="Yes","Brief keeps changing; ","")&amp;IF($M9="Yes","Extra work requested; ","")&amp;IF($N9="Yes","Exceeding expected hours; ","")&amp;IF($O9="Yes","Expenses over budget; ","")&amp;IF($P9="Yes","Margin too low; ","")&amp;IF($Q9="Yes","Payment overdue; ","")&amp;IF($R9="Yes","Scope creep; ","")&amp;IF($S9="No","Compliance unclear; ","")&amp;IF($T9="No","Manufacturing handover unclear; ",""),LEN(IF($D9="No","Scope undefined; ","")&amp;IF($E9="No","Brief unclear; ","")&amp;IF($F9="No","Contract not signed; ","")&amp;IF($G9="No","Deposit unpaid; ","")&amp;IF($I9="No","Ownership not agreed; ","")&amp;IF($J9="No","Deadline unrealistic; ","")&amp;IF($K9="No","Slow client response; ","")&amp;IF($L9="Yes","Brief keeps changing; ","")&amp;IF($M9="Yes","Extra work requested; ","")&amp;IF($N9="Yes","Exceeding expected hours; ","")&amp;IF($O9="Yes","Expenses over budget; ","")&amp;IF($P9="Yes","Margin too low; ","")&amp;IF($Q9="Yes","Payment overdue; ","")&amp;IF($R9="Yes","Scope creep; ","")&amp;IF($S9="No","Compliance unclear; ","")&amp;IF($T9="No","Manufacturing handover unclear; ",""))-2)))</f>
        <v/>
      </c>
      <c r="W9" s="39" t="str">
        <f aca="false">IF($A9="","",IFERROR(INDEX('Fragrance Projects'!$B$5:$B$64,MATCH($A9,'Fragrance Projects'!$A$5:$A$64,0)),""))</f>
        <v/>
      </c>
      <c r="X9" s="39" t="str">
        <f aca="false">IF($A9="","",IFERROR(INDEX('Project Financials'!$U$5:$U$64,MATCH($A9,'Project Financials'!$A$5:$A$64,0)),""))</f>
        <v/>
      </c>
      <c r="Y9" s="39" t="str">
        <f aca="false">IF($A9="","",IFERROR(INDEX('Project Financials'!$D$5:$D$64,MATCH($A9,'Project Financials'!$A$5:$A$64,0)),""))</f>
        <v/>
      </c>
      <c r="Z9" s="39" t="str">
        <f aca="false">IF($A9="","",IFERROR(INDEX('Project Financials'!$AC$5:$AC$64,MATCH($A9,'Project Financials'!$A$5:$A$64,0)),""))</f>
        <v/>
      </c>
      <c r="AA9" s="39" t="str">
        <f aca="false">IF($A9="","",IFERROR(INDEX(Payments!$N$5:$N$64,MATCH($A9,Payments!$B$5:$B$64,0)),""))</f>
        <v/>
      </c>
    </row>
    <row r="10" customFormat="false" ht="21.75" hidden="false" customHeight="true" outlineLevel="0" collapsed="false">
      <c r="A10" s="30"/>
      <c r="B10" s="20" t="str">
        <f aca="false">IF($A10="","",IFERROR(INDEX('Fragrance Projects'!$C$5:$C$64,MATCH($A10,'Fragrance Projects'!$A$5:$A$64,0)),""))</f>
        <v/>
      </c>
      <c r="C10" s="20" t="str">
        <f aca="false">IF($A10="","",IFERROR(INDEX('Fragrance Projects'!$D$5:$D$64,MATCH($A10,'Fragrance Projects'!$A$5:$A$64,0)),""))</f>
        <v/>
      </c>
      <c r="D10" s="30"/>
      <c r="E10" s="30"/>
      <c r="F10" s="20" t="str">
        <f aca="false">IF($A10="","",IFERROR(INDEX(Clients!$R$5:$R$44,MATCH($W10,Clients!$A$5:$A$44,0)),""))</f>
        <v/>
      </c>
      <c r="G10" s="20" t="str">
        <f aca="false">IF($A10="","",IF(IFERROR(INDEX(Payments!$G$5:$G$64,MATCH($A10,Payments!$B$5:$B$64,0)),0)&gt;0,"Yes","No"))</f>
        <v/>
      </c>
      <c r="H10" s="20" t="str">
        <f aca="false">IF($A10="","",IFERROR(INDEX('Fragrance Projects'!$L$5:$L$64,MATCH($A10,'Fragrance Projects'!$A$5:$A$64,0)),""))</f>
        <v/>
      </c>
      <c r="I10" s="20" t="str">
        <f aca="false">IF($A10="","",IF(AND(IFERROR(INDEX(Clients!$T$5:$T$44,MATCH($W10,Clients!$A$5:$A$44,0)),"")&lt;&gt;"",IFERROR(INDEX(Clients!$T$5:$T$44,MATCH($W10,Clients!$A$5:$A$44,0)),"")&lt;&gt;"Not Yet Agreed"),"Yes","No"))</f>
        <v/>
      </c>
      <c r="J10" s="30"/>
      <c r="K10" s="30"/>
      <c r="L10" s="30"/>
      <c r="M10" s="30"/>
      <c r="N10" s="30"/>
      <c r="O10" s="20" t="str">
        <f aca="false">IF($A10="","",IF(AND($Y10&lt;&gt;"",$Y10&gt;0,$X10&gt;0.4*$Y10),"Yes","No"))</f>
        <v/>
      </c>
      <c r="P10" s="20" t="str">
        <f aca="false">IF($A10="","",IF(AND($Z10&lt;&gt;"",$Z10&lt;0.15),"Yes","No"))</f>
        <v/>
      </c>
      <c r="Q10" s="20" t="str">
        <f aca="false">IF($A10="","",IF($AA10="Overdue","Yes","No"))</f>
        <v/>
      </c>
      <c r="R10" s="30"/>
      <c r="S10" s="30"/>
      <c r="T10" s="30"/>
      <c r="U10" s="20" t="str">
        <f aca="false">IF($A10="","",_xlfn.IFS((IF($D10="No",1,0)+IF($E10="No",1,0)+IF($F10="No",1,0)+IF($G10="No",1,0)+IF($I10="No",1,0)+IF($J10="No",1,0)+IF($K10="No",1,0)+IF($L10="Yes",1,0)+IF($M10="Yes",1,0)+IF($N10="Yes",1,0)+IF($O10="Yes",1,0)+IF($P10="Yes",1,0)+IF($Q10="Yes",1,0)+IF($R10="Yes",1,0)+IF($S10="No",1,0)+IF($T10="No",1,0))&lt;=2,"LOW",(IF($D10="No",1,0)+IF($E10="No",1,0)+IF($F10="No",1,0)+IF($G10="No",1,0)+IF($I10="No",1,0)+IF($J10="No",1,0)+IF($K10="No",1,0)+IF($L10="Yes",1,0)+IF($M10="Yes",1,0)+IF($N10="Yes",1,0)+IF($O10="Yes",1,0)+IF($P10="Yes",1,0)+IF($Q10="Yes",1,0)+IF($R10="Yes",1,0)+IF($S10="No",1,0)+IF($T10="No",1,0))&lt;=5,"MEDIUM",TRUE(),"HIGH"))</f>
        <v/>
      </c>
      <c r="V10" s="19" t="str">
        <f aca="false">IF($A10="","",IF(LEN(IF($D10="No","Scope undefined; ","")&amp;IF($E10="No","Brief unclear; ","")&amp;IF($F10="No","Contract not signed; ","")&amp;IF($G10="No","Deposit unpaid; ","")&amp;IF($I10="No","Ownership not agreed; ","")&amp;IF($J10="No","Deadline unrealistic; ","")&amp;IF($K10="No","Slow client response; ","")&amp;IF($L10="Yes","Brief keeps changing; ","")&amp;IF($M10="Yes","Extra work requested; ","")&amp;IF($N10="Yes","Exceeding expected hours; ","")&amp;IF($O10="Yes","Expenses over budget; ","")&amp;IF($P10="Yes","Margin too low; ","")&amp;IF($Q10="Yes","Payment overdue; ","")&amp;IF($R10="Yes","Scope creep; ","")&amp;IF($S10="No","Compliance unclear; ","")&amp;IF($T10="No","Manufacturing handover unclear; ",""))=0,"None — healthy",LEFT(IF($D10="No","Scope undefined; ","")&amp;IF($E10="No","Brief unclear; ","")&amp;IF($F10="No","Contract not signed; ","")&amp;IF($G10="No","Deposit unpaid; ","")&amp;IF($I10="No","Ownership not agreed; ","")&amp;IF($J10="No","Deadline unrealistic; ","")&amp;IF($K10="No","Slow client response; ","")&amp;IF($L10="Yes","Brief keeps changing; ","")&amp;IF($M10="Yes","Extra work requested; ","")&amp;IF($N10="Yes","Exceeding expected hours; ","")&amp;IF($O10="Yes","Expenses over budget; ","")&amp;IF($P10="Yes","Margin too low; ","")&amp;IF($Q10="Yes","Payment overdue; ","")&amp;IF($R10="Yes","Scope creep; ","")&amp;IF($S10="No","Compliance unclear; ","")&amp;IF($T10="No","Manufacturing handover unclear; ",""),LEN(IF($D10="No","Scope undefined; ","")&amp;IF($E10="No","Brief unclear; ","")&amp;IF($F10="No","Contract not signed; ","")&amp;IF($G10="No","Deposit unpaid; ","")&amp;IF($I10="No","Ownership not agreed; ","")&amp;IF($J10="No","Deadline unrealistic; ","")&amp;IF($K10="No","Slow client response; ","")&amp;IF($L10="Yes","Brief keeps changing; ","")&amp;IF($M10="Yes","Extra work requested; ","")&amp;IF($N10="Yes","Exceeding expected hours; ","")&amp;IF($O10="Yes","Expenses over budget; ","")&amp;IF($P10="Yes","Margin too low; ","")&amp;IF($Q10="Yes","Payment overdue; ","")&amp;IF($R10="Yes","Scope creep; ","")&amp;IF($S10="No","Compliance unclear; ","")&amp;IF($T10="No","Manufacturing handover unclear; ",""))-2)))</f>
        <v/>
      </c>
      <c r="W10" s="39" t="str">
        <f aca="false">IF($A10="","",IFERROR(INDEX('Fragrance Projects'!$B$5:$B$64,MATCH($A10,'Fragrance Projects'!$A$5:$A$64,0)),""))</f>
        <v/>
      </c>
      <c r="X10" s="39" t="str">
        <f aca="false">IF($A10="","",IFERROR(INDEX('Project Financials'!$U$5:$U$64,MATCH($A10,'Project Financials'!$A$5:$A$64,0)),""))</f>
        <v/>
      </c>
      <c r="Y10" s="39" t="str">
        <f aca="false">IF($A10="","",IFERROR(INDEX('Project Financials'!$D$5:$D$64,MATCH($A10,'Project Financials'!$A$5:$A$64,0)),""))</f>
        <v/>
      </c>
      <c r="Z10" s="39" t="str">
        <f aca="false">IF($A10="","",IFERROR(INDEX('Project Financials'!$AC$5:$AC$64,MATCH($A10,'Project Financials'!$A$5:$A$64,0)),""))</f>
        <v/>
      </c>
      <c r="AA10" s="39" t="str">
        <f aca="false">IF($A10="","",IFERROR(INDEX(Payments!$N$5:$N$64,MATCH($A10,Payments!$B$5:$B$64,0)),""))</f>
        <v/>
      </c>
    </row>
    <row r="11" customFormat="false" ht="21.75" hidden="false" customHeight="true" outlineLevel="0" collapsed="false">
      <c r="A11" s="30"/>
      <c r="B11" s="20" t="str">
        <f aca="false">IF($A11="","",IFERROR(INDEX('Fragrance Projects'!$C$5:$C$64,MATCH($A11,'Fragrance Projects'!$A$5:$A$64,0)),""))</f>
        <v/>
      </c>
      <c r="C11" s="20" t="str">
        <f aca="false">IF($A11="","",IFERROR(INDEX('Fragrance Projects'!$D$5:$D$64,MATCH($A11,'Fragrance Projects'!$A$5:$A$64,0)),""))</f>
        <v/>
      </c>
      <c r="D11" s="30"/>
      <c r="E11" s="30"/>
      <c r="F11" s="20" t="str">
        <f aca="false">IF($A11="","",IFERROR(INDEX(Clients!$R$5:$R$44,MATCH($W11,Clients!$A$5:$A$44,0)),""))</f>
        <v/>
      </c>
      <c r="G11" s="20" t="str">
        <f aca="false">IF($A11="","",IF(IFERROR(INDEX(Payments!$G$5:$G$64,MATCH($A11,Payments!$B$5:$B$64,0)),0)&gt;0,"Yes","No"))</f>
        <v/>
      </c>
      <c r="H11" s="20" t="str">
        <f aca="false">IF($A11="","",IFERROR(INDEX('Fragrance Projects'!$L$5:$L$64,MATCH($A11,'Fragrance Projects'!$A$5:$A$64,0)),""))</f>
        <v/>
      </c>
      <c r="I11" s="20" t="str">
        <f aca="false">IF($A11="","",IF(AND(IFERROR(INDEX(Clients!$T$5:$T$44,MATCH($W11,Clients!$A$5:$A$44,0)),"")&lt;&gt;"",IFERROR(INDEX(Clients!$T$5:$T$44,MATCH($W11,Clients!$A$5:$A$44,0)),"")&lt;&gt;"Not Yet Agreed"),"Yes","No"))</f>
        <v/>
      </c>
      <c r="J11" s="30"/>
      <c r="K11" s="30"/>
      <c r="L11" s="30"/>
      <c r="M11" s="30"/>
      <c r="N11" s="30"/>
      <c r="O11" s="20" t="str">
        <f aca="false">IF($A11="","",IF(AND($Y11&lt;&gt;"",$Y11&gt;0,$X11&gt;0.4*$Y11),"Yes","No"))</f>
        <v/>
      </c>
      <c r="P11" s="20" t="str">
        <f aca="false">IF($A11="","",IF(AND($Z11&lt;&gt;"",$Z11&lt;0.15),"Yes","No"))</f>
        <v/>
      </c>
      <c r="Q11" s="20" t="str">
        <f aca="false">IF($A11="","",IF($AA11="Overdue","Yes","No"))</f>
        <v/>
      </c>
      <c r="R11" s="30"/>
      <c r="S11" s="30"/>
      <c r="T11" s="30"/>
      <c r="U11" s="20" t="str">
        <f aca="false">IF($A11="","",_xlfn.IFS((IF($D11="No",1,0)+IF($E11="No",1,0)+IF($F11="No",1,0)+IF($G11="No",1,0)+IF($I11="No",1,0)+IF($J11="No",1,0)+IF($K11="No",1,0)+IF($L11="Yes",1,0)+IF($M11="Yes",1,0)+IF($N11="Yes",1,0)+IF($O11="Yes",1,0)+IF($P11="Yes",1,0)+IF($Q11="Yes",1,0)+IF($R11="Yes",1,0)+IF($S11="No",1,0)+IF($T11="No",1,0))&lt;=2,"LOW",(IF($D11="No",1,0)+IF($E11="No",1,0)+IF($F11="No",1,0)+IF($G11="No",1,0)+IF($I11="No",1,0)+IF($J11="No",1,0)+IF($K11="No",1,0)+IF($L11="Yes",1,0)+IF($M11="Yes",1,0)+IF($N11="Yes",1,0)+IF($O11="Yes",1,0)+IF($P11="Yes",1,0)+IF($Q11="Yes",1,0)+IF($R11="Yes",1,0)+IF($S11="No",1,0)+IF($T11="No",1,0))&lt;=5,"MEDIUM",TRUE(),"HIGH"))</f>
        <v/>
      </c>
      <c r="V11" s="19" t="str">
        <f aca="false">IF($A11="","",IF(LEN(IF($D11="No","Scope undefined; ","")&amp;IF($E11="No","Brief unclear; ","")&amp;IF($F11="No","Contract not signed; ","")&amp;IF($G11="No","Deposit unpaid; ","")&amp;IF($I11="No","Ownership not agreed; ","")&amp;IF($J11="No","Deadline unrealistic; ","")&amp;IF($K11="No","Slow client response; ","")&amp;IF($L11="Yes","Brief keeps changing; ","")&amp;IF($M11="Yes","Extra work requested; ","")&amp;IF($N11="Yes","Exceeding expected hours; ","")&amp;IF($O11="Yes","Expenses over budget; ","")&amp;IF($P11="Yes","Margin too low; ","")&amp;IF($Q11="Yes","Payment overdue; ","")&amp;IF($R11="Yes","Scope creep; ","")&amp;IF($S11="No","Compliance unclear; ","")&amp;IF($T11="No","Manufacturing handover unclear; ",""))=0,"None — healthy",LEFT(IF($D11="No","Scope undefined; ","")&amp;IF($E11="No","Brief unclear; ","")&amp;IF($F11="No","Contract not signed; ","")&amp;IF($G11="No","Deposit unpaid; ","")&amp;IF($I11="No","Ownership not agreed; ","")&amp;IF($J11="No","Deadline unrealistic; ","")&amp;IF($K11="No","Slow client response; ","")&amp;IF($L11="Yes","Brief keeps changing; ","")&amp;IF($M11="Yes","Extra work requested; ","")&amp;IF($N11="Yes","Exceeding expected hours; ","")&amp;IF($O11="Yes","Expenses over budget; ","")&amp;IF($P11="Yes","Margin too low; ","")&amp;IF($Q11="Yes","Payment overdue; ","")&amp;IF($R11="Yes","Scope creep; ","")&amp;IF($S11="No","Compliance unclear; ","")&amp;IF($T11="No","Manufacturing handover unclear; ",""),LEN(IF($D11="No","Scope undefined; ","")&amp;IF($E11="No","Brief unclear; ","")&amp;IF($F11="No","Contract not signed; ","")&amp;IF($G11="No","Deposit unpaid; ","")&amp;IF($I11="No","Ownership not agreed; ","")&amp;IF($J11="No","Deadline unrealistic; ","")&amp;IF($K11="No","Slow client response; ","")&amp;IF($L11="Yes","Brief keeps changing; ","")&amp;IF($M11="Yes","Extra work requested; ","")&amp;IF($N11="Yes","Exceeding expected hours; ","")&amp;IF($O11="Yes","Expenses over budget; ","")&amp;IF($P11="Yes","Margin too low; ","")&amp;IF($Q11="Yes","Payment overdue; ","")&amp;IF($R11="Yes","Scope creep; ","")&amp;IF($S11="No","Compliance unclear; ","")&amp;IF($T11="No","Manufacturing handover unclear; ",""))-2)))</f>
        <v/>
      </c>
      <c r="W11" s="39" t="str">
        <f aca="false">IF($A11="","",IFERROR(INDEX('Fragrance Projects'!$B$5:$B$64,MATCH($A11,'Fragrance Projects'!$A$5:$A$64,0)),""))</f>
        <v/>
      </c>
      <c r="X11" s="39" t="str">
        <f aca="false">IF($A11="","",IFERROR(INDEX('Project Financials'!$U$5:$U$64,MATCH($A11,'Project Financials'!$A$5:$A$64,0)),""))</f>
        <v/>
      </c>
      <c r="Y11" s="39" t="str">
        <f aca="false">IF($A11="","",IFERROR(INDEX('Project Financials'!$D$5:$D$64,MATCH($A11,'Project Financials'!$A$5:$A$64,0)),""))</f>
        <v/>
      </c>
      <c r="Z11" s="39" t="str">
        <f aca="false">IF($A11="","",IFERROR(INDEX('Project Financials'!$AC$5:$AC$64,MATCH($A11,'Project Financials'!$A$5:$A$64,0)),""))</f>
        <v/>
      </c>
      <c r="AA11" s="39" t="str">
        <f aca="false">IF($A11="","",IFERROR(INDEX(Payments!$N$5:$N$64,MATCH($A11,Payments!$B$5:$B$64,0)),""))</f>
        <v/>
      </c>
    </row>
    <row r="12" customFormat="false" ht="21.75" hidden="false" customHeight="true" outlineLevel="0" collapsed="false">
      <c r="A12" s="30"/>
      <c r="B12" s="20" t="str">
        <f aca="false">IF($A12="","",IFERROR(INDEX('Fragrance Projects'!$C$5:$C$64,MATCH($A12,'Fragrance Projects'!$A$5:$A$64,0)),""))</f>
        <v/>
      </c>
      <c r="C12" s="20" t="str">
        <f aca="false">IF($A12="","",IFERROR(INDEX('Fragrance Projects'!$D$5:$D$64,MATCH($A12,'Fragrance Projects'!$A$5:$A$64,0)),""))</f>
        <v/>
      </c>
      <c r="D12" s="30"/>
      <c r="E12" s="30"/>
      <c r="F12" s="20" t="str">
        <f aca="false">IF($A12="","",IFERROR(INDEX(Clients!$R$5:$R$44,MATCH($W12,Clients!$A$5:$A$44,0)),""))</f>
        <v/>
      </c>
      <c r="G12" s="20" t="str">
        <f aca="false">IF($A12="","",IF(IFERROR(INDEX(Payments!$G$5:$G$64,MATCH($A12,Payments!$B$5:$B$64,0)),0)&gt;0,"Yes","No"))</f>
        <v/>
      </c>
      <c r="H12" s="20" t="str">
        <f aca="false">IF($A12="","",IFERROR(INDEX('Fragrance Projects'!$L$5:$L$64,MATCH($A12,'Fragrance Projects'!$A$5:$A$64,0)),""))</f>
        <v/>
      </c>
      <c r="I12" s="20" t="str">
        <f aca="false">IF($A12="","",IF(AND(IFERROR(INDEX(Clients!$T$5:$T$44,MATCH($W12,Clients!$A$5:$A$44,0)),"")&lt;&gt;"",IFERROR(INDEX(Clients!$T$5:$T$44,MATCH($W12,Clients!$A$5:$A$44,0)),"")&lt;&gt;"Not Yet Agreed"),"Yes","No"))</f>
        <v/>
      </c>
      <c r="J12" s="30"/>
      <c r="K12" s="30"/>
      <c r="L12" s="30"/>
      <c r="M12" s="30"/>
      <c r="N12" s="30"/>
      <c r="O12" s="20" t="str">
        <f aca="false">IF($A12="","",IF(AND($Y12&lt;&gt;"",$Y12&gt;0,$X12&gt;0.4*$Y12),"Yes","No"))</f>
        <v/>
      </c>
      <c r="P12" s="20" t="str">
        <f aca="false">IF($A12="","",IF(AND($Z12&lt;&gt;"",$Z12&lt;0.15),"Yes","No"))</f>
        <v/>
      </c>
      <c r="Q12" s="20" t="str">
        <f aca="false">IF($A12="","",IF($AA12="Overdue","Yes","No"))</f>
        <v/>
      </c>
      <c r="R12" s="30"/>
      <c r="S12" s="30"/>
      <c r="T12" s="30"/>
      <c r="U12" s="20" t="str">
        <f aca="false">IF($A12="","",_xlfn.IFS((IF($D12="No",1,0)+IF($E12="No",1,0)+IF($F12="No",1,0)+IF($G12="No",1,0)+IF($I12="No",1,0)+IF($J12="No",1,0)+IF($K12="No",1,0)+IF($L12="Yes",1,0)+IF($M12="Yes",1,0)+IF($N12="Yes",1,0)+IF($O12="Yes",1,0)+IF($P12="Yes",1,0)+IF($Q12="Yes",1,0)+IF($R12="Yes",1,0)+IF($S12="No",1,0)+IF($T12="No",1,0))&lt;=2,"LOW",(IF($D12="No",1,0)+IF($E12="No",1,0)+IF($F12="No",1,0)+IF($G12="No",1,0)+IF($I12="No",1,0)+IF($J12="No",1,0)+IF($K12="No",1,0)+IF($L12="Yes",1,0)+IF($M12="Yes",1,0)+IF($N12="Yes",1,0)+IF($O12="Yes",1,0)+IF($P12="Yes",1,0)+IF($Q12="Yes",1,0)+IF($R12="Yes",1,0)+IF($S12="No",1,0)+IF($T12="No",1,0))&lt;=5,"MEDIUM",TRUE(),"HIGH"))</f>
        <v/>
      </c>
      <c r="V12" s="19" t="str">
        <f aca="false">IF($A12="","",IF(LEN(IF($D12="No","Scope undefined; ","")&amp;IF($E12="No","Brief unclear; ","")&amp;IF($F12="No","Contract not signed; ","")&amp;IF($G12="No","Deposit unpaid; ","")&amp;IF($I12="No","Ownership not agreed; ","")&amp;IF($J12="No","Deadline unrealistic; ","")&amp;IF($K12="No","Slow client response; ","")&amp;IF($L12="Yes","Brief keeps changing; ","")&amp;IF($M12="Yes","Extra work requested; ","")&amp;IF($N12="Yes","Exceeding expected hours; ","")&amp;IF($O12="Yes","Expenses over budget; ","")&amp;IF($P12="Yes","Margin too low; ","")&amp;IF($Q12="Yes","Payment overdue; ","")&amp;IF($R12="Yes","Scope creep; ","")&amp;IF($S12="No","Compliance unclear; ","")&amp;IF($T12="No","Manufacturing handover unclear; ",""))=0,"None — healthy",LEFT(IF($D12="No","Scope undefined; ","")&amp;IF($E12="No","Brief unclear; ","")&amp;IF($F12="No","Contract not signed; ","")&amp;IF($G12="No","Deposit unpaid; ","")&amp;IF($I12="No","Ownership not agreed; ","")&amp;IF($J12="No","Deadline unrealistic; ","")&amp;IF($K12="No","Slow client response; ","")&amp;IF($L12="Yes","Brief keeps changing; ","")&amp;IF($M12="Yes","Extra work requested; ","")&amp;IF($N12="Yes","Exceeding expected hours; ","")&amp;IF($O12="Yes","Expenses over budget; ","")&amp;IF($P12="Yes","Margin too low; ","")&amp;IF($Q12="Yes","Payment overdue; ","")&amp;IF($R12="Yes","Scope creep; ","")&amp;IF($S12="No","Compliance unclear; ","")&amp;IF($T12="No","Manufacturing handover unclear; ",""),LEN(IF($D12="No","Scope undefined; ","")&amp;IF($E12="No","Brief unclear; ","")&amp;IF($F12="No","Contract not signed; ","")&amp;IF($G12="No","Deposit unpaid; ","")&amp;IF($I12="No","Ownership not agreed; ","")&amp;IF($J12="No","Deadline unrealistic; ","")&amp;IF($K12="No","Slow client response; ","")&amp;IF($L12="Yes","Brief keeps changing; ","")&amp;IF($M12="Yes","Extra work requested; ","")&amp;IF($N12="Yes","Exceeding expected hours; ","")&amp;IF($O12="Yes","Expenses over budget; ","")&amp;IF($P12="Yes","Margin too low; ","")&amp;IF($Q12="Yes","Payment overdue; ","")&amp;IF($R12="Yes","Scope creep; ","")&amp;IF($S12="No","Compliance unclear; ","")&amp;IF($T12="No","Manufacturing handover unclear; ",""))-2)))</f>
        <v/>
      </c>
      <c r="W12" s="39" t="str">
        <f aca="false">IF($A12="","",IFERROR(INDEX('Fragrance Projects'!$B$5:$B$64,MATCH($A12,'Fragrance Projects'!$A$5:$A$64,0)),""))</f>
        <v/>
      </c>
      <c r="X12" s="39" t="str">
        <f aca="false">IF($A12="","",IFERROR(INDEX('Project Financials'!$U$5:$U$64,MATCH($A12,'Project Financials'!$A$5:$A$64,0)),""))</f>
        <v/>
      </c>
      <c r="Y12" s="39" t="str">
        <f aca="false">IF($A12="","",IFERROR(INDEX('Project Financials'!$D$5:$D$64,MATCH($A12,'Project Financials'!$A$5:$A$64,0)),""))</f>
        <v/>
      </c>
      <c r="Z12" s="39" t="str">
        <f aca="false">IF($A12="","",IFERROR(INDEX('Project Financials'!$AC$5:$AC$64,MATCH($A12,'Project Financials'!$A$5:$A$64,0)),""))</f>
        <v/>
      </c>
      <c r="AA12" s="39" t="str">
        <f aca="false">IF($A12="","",IFERROR(INDEX(Payments!$N$5:$N$64,MATCH($A12,Payments!$B$5:$B$64,0)),""))</f>
        <v/>
      </c>
    </row>
    <row r="13" customFormat="false" ht="21.75" hidden="false" customHeight="true" outlineLevel="0" collapsed="false">
      <c r="A13" s="30"/>
      <c r="B13" s="20" t="str">
        <f aca="false">IF($A13="","",IFERROR(INDEX('Fragrance Projects'!$C$5:$C$64,MATCH($A13,'Fragrance Projects'!$A$5:$A$64,0)),""))</f>
        <v/>
      </c>
      <c r="C13" s="20" t="str">
        <f aca="false">IF($A13="","",IFERROR(INDEX('Fragrance Projects'!$D$5:$D$64,MATCH($A13,'Fragrance Projects'!$A$5:$A$64,0)),""))</f>
        <v/>
      </c>
      <c r="D13" s="30"/>
      <c r="E13" s="30"/>
      <c r="F13" s="20" t="str">
        <f aca="false">IF($A13="","",IFERROR(INDEX(Clients!$R$5:$R$44,MATCH($W13,Clients!$A$5:$A$44,0)),""))</f>
        <v/>
      </c>
      <c r="G13" s="20" t="str">
        <f aca="false">IF($A13="","",IF(IFERROR(INDEX(Payments!$G$5:$G$64,MATCH($A13,Payments!$B$5:$B$64,0)),0)&gt;0,"Yes","No"))</f>
        <v/>
      </c>
      <c r="H13" s="20" t="str">
        <f aca="false">IF($A13="","",IFERROR(INDEX('Fragrance Projects'!$L$5:$L$64,MATCH($A13,'Fragrance Projects'!$A$5:$A$64,0)),""))</f>
        <v/>
      </c>
      <c r="I13" s="20" t="str">
        <f aca="false">IF($A13="","",IF(AND(IFERROR(INDEX(Clients!$T$5:$T$44,MATCH($W13,Clients!$A$5:$A$44,0)),"")&lt;&gt;"",IFERROR(INDEX(Clients!$T$5:$T$44,MATCH($W13,Clients!$A$5:$A$44,0)),"")&lt;&gt;"Not Yet Agreed"),"Yes","No"))</f>
        <v/>
      </c>
      <c r="J13" s="30"/>
      <c r="K13" s="30"/>
      <c r="L13" s="30"/>
      <c r="M13" s="30"/>
      <c r="N13" s="30"/>
      <c r="O13" s="20" t="str">
        <f aca="false">IF($A13="","",IF(AND($Y13&lt;&gt;"",$Y13&gt;0,$X13&gt;0.4*$Y13),"Yes","No"))</f>
        <v/>
      </c>
      <c r="P13" s="20" t="str">
        <f aca="false">IF($A13="","",IF(AND($Z13&lt;&gt;"",$Z13&lt;0.15),"Yes","No"))</f>
        <v/>
      </c>
      <c r="Q13" s="20" t="str">
        <f aca="false">IF($A13="","",IF($AA13="Overdue","Yes","No"))</f>
        <v/>
      </c>
      <c r="R13" s="30"/>
      <c r="S13" s="30"/>
      <c r="T13" s="30"/>
      <c r="U13" s="20" t="str">
        <f aca="false">IF($A13="","",_xlfn.IFS((IF($D13="No",1,0)+IF($E13="No",1,0)+IF($F13="No",1,0)+IF($G13="No",1,0)+IF($I13="No",1,0)+IF($J13="No",1,0)+IF($K13="No",1,0)+IF($L13="Yes",1,0)+IF($M13="Yes",1,0)+IF($N13="Yes",1,0)+IF($O13="Yes",1,0)+IF($P13="Yes",1,0)+IF($Q13="Yes",1,0)+IF($R13="Yes",1,0)+IF($S13="No",1,0)+IF($T13="No",1,0))&lt;=2,"LOW",(IF($D13="No",1,0)+IF($E13="No",1,0)+IF($F13="No",1,0)+IF($G13="No",1,0)+IF($I13="No",1,0)+IF($J13="No",1,0)+IF($K13="No",1,0)+IF($L13="Yes",1,0)+IF($M13="Yes",1,0)+IF($N13="Yes",1,0)+IF($O13="Yes",1,0)+IF($P13="Yes",1,0)+IF($Q13="Yes",1,0)+IF($R13="Yes",1,0)+IF($S13="No",1,0)+IF($T13="No",1,0))&lt;=5,"MEDIUM",TRUE(),"HIGH"))</f>
        <v/>
      </c>
      <c r="V13" s="19" t="str">
        <f aca="false">IF($A13="","",IF(LEN(IF($D13="No","Scope undefined; ","")&amp;IF($E13="No","Brief unclear; ","")&amp;IF($F13="No","Contract not signed; ","")&amp;IF($G13="No","Deposit unpaid; ","")&amp;IF($I13="No","Ownership not agreed; ","")&amp;IF($J13="No","Deadline unrealistic; ","")&amp;IF($K13="No","Slow client response; ","")&amp;IF($L13="Yes","Brief keeps changing; ","")&amp;IF($M13="Yes","Extra work requested; ","")&amp;IF($N13="Yes","Exceeding expected hours; ","")&amp;IF($O13="Yes","Expenses over budget; ","")&amp;IF($P13="Yes","Margin too low; ","")&amp;IF($Q13="Yes","Payment overdue; ","")&amp;IF($R13="Yes","Scope creep; ","")&amp;IF($S13="No","Compliance unclear; ","")&amp;IF($T13="No","Manufacturing handover unclear; ",""))=0,"None — healthy",LEFT(IF($D13="No","Scope undefined; ","")&amp;IF($E13="No","Brief unclear; ","")&amp;IF($F13="No","Contract not signed; ","")&amp;IF($G13="No","Deposit unpaid; ","")&amp;IF($I13="No","Ownership not agreed; ","")&amp;IF($J13="No","Deadline unrealistic; ","")&amp;IF($K13="No","Slow client response; ","")&amp;IF($L13="Yes","Brief keeps changing; ","")&amp;IF($M13="Yes","Extra work requested; ","")&amp;IF($N13="Yes","Exceeding expected hours; ","")&amp;IF($O13="Yes","Expenses over budget; ","")&amp;IF($P13="Yes","Margin too low; ","")&amp;IF($Q13="Yes","Payment overdue; ","")&amp;IF($R13="Yes","Scope creep; ","")&amp;IF($S13="No","Compliance unclear; ","")&amp;IF($T13="No","Manufacturing handover unclear; ",""),LEN(IF($D13="No","Scope undefined; ","")&amp;IF($E13="No","Brief unclear; ","")&amp;IF($F13="No","Contract not signed; ","")&amp;IF($G13="No","Deposit unpaid; ","")&amp;IF($I13="No","Ownership not agreed; ","")&amp;IF($J13="No","Deadline unrealistic; ","")&amp;IF($K13="No","Slow client response; ","")&amp;IF($L13="Yes","Brief keeps changing; ","")&amp;IF($M13="Yes","Extra work requested; ","")&amp;IF($N13="Yes","Exceeding expected hours; ","")&amp;IF($O13="Yes","Expenses over budget; ","")&amp;IF($P13="Yes","Margin too low; ","")&amp;IF($Q13="Yes","Payment overdue; ","")&amp;IF($R13="Yes","Scope creep; ","")&amp;IF($S13="No","Compliance unclear; ","")&amp;IF($T13="No","Manufacturing handover unclear; ",""))-2)))</f>
        <v/>
      </c>
      <c r="W13" s="39" t="str">
        <f aca="false">IF($A13="","",IFERROR(INDEX('Fragrance Projects'!$B$5:$B$64,MATCH($A13,'Fragrance Projects'!$A$5:$A$64,0)),""))</f>
        <v/>
      </c>
      <c r="X13" s="39" t="str">
        <f aca="false">IF($A13="","",IFERROR(INDEX('Project Financials'!$U$5:$U$64,MATCH($A13,'Project Financials'!$A$5:$A$64,0)),""))</f>
        <v/>
      </c>
      <c r="Y13" s="39" t="str">
        <f aca="false">IF($A13="","",IFERROR(INDEX('Project Financials'!$D$5:$D$64,MATCH($A13,'Project Financials'!$A$5:$A$64,0)),""))</f>
        <v/>
      </c>
      <c r="Z13" s="39" t="str">
        <f aca="false">IF($A13="","",IFERROR(INDEX('Project Financials'!$AC$5:$AC$64,MATCH($A13,'Project Financials'!$A$5:$A$64,0)),""))</f>
        <v/>
      </c>
      <c r="AA13" s="39" t="str">
        <f aca="false">IF($A13="","",IFERROR(INDEX(Payments!$N$5:$N$64,MATCH($A13,Payments!$B$5:$B$64,0)),""))</f>
        <v/>
      </c>
    </row>
    <row r="14" customFormat="false" ht="21.75" hidden="false" customHeight="true" outlineLevel="0" collapsed="false">
      <c r="A14" s="30"/>
      <c r="B14" s="20" t="str">
        <f aca="false">IF($A14="","",IFERROR(INDEX('Fragrance Projects'!$C$5:$C$64,MATCH($A14,'Fragrance Projects'!$A$5:$A$64,0)),""))</f>
        <v/>
      </c>
      <c r="C14" s="20" t="str">
        <f aca="false">IF($A14="","",IFERROR(INDEX('Fragrance Projects'!$D$5:$D$64,MATCH($A14,'Fragrance Projects'!$A$5:$A$64,0)),""))</f>
        <v/>
      </c>
      <c r="D14" s="30"/>
      <c r="E14" s="30"/>
      <c r="F14" s="20" t="str">
        <f aca="false">IF($A14="","",IFERROR(INDEX(Clients!$R$5:$R$44,MATCH($W14,Clients!$A$5:$A$44,0)),""))</f>
        <v/>
      </c>
      <c r="G14" s="20" t="str">
        <f aca="false">IF($A14="","",IF(IFERROR(INDEX(Payments!$G$5:$G$64,MATCH($A14,Payments!$B$5:$B$64,0)),0)&gt;0,"Yes","No"))</f>
        <v/>
      </c>
      <c r="H14" s="20" t="str">
        <f aca="false">IF($A14="","",IFERROR(INDEX('Fragrance Projects'!$L$5:$L$64,MATCH($A14,'Fragrance Projects'!$A$5:$A$64,0)),""))</f>
        <v/>
      </c>
      <c r="I14" s="20" t="str">
        <f aca="false">IF($A14="","",IF(AND(IFERROR(INDEX(Clients!$T$5:$T$44,MATCH($W14,Clients!$A$5:$A$44,0)),"")&lt;&gt;"",IFERROR(INDEX(Clients!$T$5:$T$44,MATCH($W14,Clients!$A$5:$A$44,0)),"")&lt;&gt;"Not Yet Agreed"),"Yes","No"))</f>
        <v/>
      </c>
      <c r="J14" s="30"/>
      <c r="K14" s="30"/>
      <c r="L14" s="30"/>
      <c r="M14" s="30"/>
      <c r="N14" s="30"/>
      <c r="O14" s="20" t="str">
        <f aca="false">IF($A14="","",IF(AND($Y14&lt;&gt;"",$Y14&gt;0,$X14&gt;0.4*$Y14),"Yes","No"))</f>
        <v/>
      </c>
      <c r="P14" s="20" t="str">
        <f aca="false">IF($A14="","",IF(AND($Z14&lt;&gt;"",$Z14&lt;0.15),"Yes","No"))</f>
        <v/>
      </c>
      <c r="Q14" s="20" t="str">
        <f aca="false">IF($A14="","",IF($AA14="Overdue","Yes","No"))</f>
        <v/>
      </c>
      <c r="R14" s="30"/>
      <c r="S14" s="30"/>
      <c r="T14" s="30"/>
      <c r="U14" s="20" t="str">
        <f aca="false">IF($A14="","",_xlfn.IFS((IF($D14="No",1,0)+IF($E14="No",1,0)+IF($F14="No",1,0)+IF($G14="No",1,0)+IF($I14="No",1,0)+IF($J14="No",1,0)+IF($K14="No",1,0)+IF($L14="Yes",1,0)+IF($M14="Yes",1,0)+IF($N14="Yes",1,0)+IF($O14="Yes",1,0)+IF($P14="Yes",1,0)+IF($Q14="Yes",1,0)+IF($R14="Yes",1,0)+IF($S14="No",1,0)+IF($T14="No",1,0))&lt;=2,"LOW",(IF($D14="No",1,0)+IF($E14="No",1,0)+IF($F14="No",1,0)+IF($G14="No",1,0)+IF($I14="No",1,0)+IF($J14="No",1,0)+IF($K14="No",1,0)+IF($L14="Yes",1,0)+IF($M14="Yes",1,0)+IF($N14="Yes",1,0)+IF($O14="Yes",1,0)+IF($P14="Yes",1,0)+IF($Q14="Yes",1,0)+IF($R14="Yes",1,0)+IF($S14="No",1,0)+IF($T14="No",1,0))&lt;=5,"MEDIUM",TRUE(),"HIGH"))</f>
        <v/>
      </c>
      <c r="V14" s="19" t="str">
        <f aca="false">IF($A14="","",IF(LEN(IF($D14="No","Scope undefined; ","")&amp;IF($E14="No","Brief unclear; ","")&amp;IF($F14="No","Contract not signed; ","")&amp;IF($G14="No","Deposit unpaid; ","")&amp;IF($I14="No","Ownership not agreed; ","")&amp;IF($J14="No","Deadline unrealistic; ","")&amp;IF($K14="No","Slow client response; ","")&amp;IF($L14="Yes","Brief keeps changing; ","")&amp;IF($M14="Yes","Extra work requested; ","")&amp;IF($N14="Yes","Exceeding expected hours; ","")&amp;IF($O14="Yes","Expenses over budget; ","")&amp;IF($P14="Yes","Margin too low; ","")&amp;IF($Q14="Yes","Payment overdue; ","")&amp;IF($R14="Yes","Scope creep; ","")&amp;IF($S14="No","Compliance unclear; ","")&amp;IF($T14="No","Manufacturing handover unclear; ",""))=0,"None — healthy",LEFT(IF($D14="No","Scope undefined; ","")&amp;IF($E14="No","Brief unclear; ","")&amp;IF($F14="No","Contract not signed; ","")&amp;IF($G14="No","Deposit unpaid; ","")&amp;IF($I14="No","Ownership not agreed; ","")&amp;IF($J14="No","Deadline unrealistic; ","")&amp;IF($K14="No","Slow client response; ","")&amp;IF($L14="Yes","Brief keeps changing; ","")&amp;IF($M14="Yes","Extra work requested; ","")&amp;IF($N14="Yes","Exceeding expected hours; ","")&amp;IF($O14="Yes","Expenses over budget; ","")&amp;IF($P14="Yes","Margin too low; ","")&amp;IF($Q14="Yes","Payment overdue; ","")&amp;IF($R14="Yes","Scope creep; ","")&amp;IF($S14="No","Compliance unclear; ","")&amp;IF($T14="No","Manufacturing handover unclear; ",""),LEN(IF($D14="No","Scope undefined; ","")&amp;IF($E14="No","Brief unclear; ","")&amp;IF($F14="No","Contract not signed; ","")&amp;IF($G14="No","Deposit unpaid; ","")&amp;IF($I14="No","Ownership not agreed; ","")&amp;IF($J14="No","Deadline unrealistic; ","")&amp;IF($K14="No","Slow client response; ","")&amp;IF($L14="Yes","Brief keeps changing; ","")&amp;IF($M14="Yes","Extra work requested; ","")&amp;IF($N14="Yes","Exceeding expected hours; ","")&amp;IF($O14="Yes","Expenses over budget; ","")&amp;IF($P14="Yes","Margin too low; ","")&amp;IF($Q14="Yes","Payment overdue; ","")&amp;IF($R14="Yes","Scope creep; ","")&amp;IF($S14="No","Compliance unclear; ","")&amp;IF($T14="No","Manufacturing handover unclear; ",""))-2)))</f>
        <v/>
      </c>
      <c r="W14" s="39" t="str">
        <f aca="false">IF($A14="","",IFERROR(INDEX('Fragrance Projects'!$B$5:$B$64,MATCH($A14,'Fragrance Projects'!$A$5:$A$64,0)),""))</f>
        <v/>
      </c>
      <c r="X14" s="39" t="str">
        <f aca="false">IF($A14="","",IFERROR(INDEX('Project Financials'!$U$5:$U$64,MATCH($A14,'Project Financials'!$A$5:$A$64,0)),""))</f>
        <v/>
      </c>
      <c r="Y14" s="39" t="str">
        <f aca="false">IF($A14="","",IFERROR(INDEX('Project Financials'!$D$5:$D$64,MATCH($A14,'Project Financials'!$A$5:$A$64,0)),""))</f>
        <v/>
      </c>
      <c r="Z14" s="39" t="str">
        <f aca="false">IF($A14="","",IFERROR(INDEX('Project Financials'!$AC$5:$AC$64,MATCH($A14,'Project Financials'!$A$5:$A$64,0)),""))</f>
        <v/>
      </c>
      <c r="AA14" s="39" t="str">
        <f aca="false">IF($A14="","",IFERROR(INDEX(Payments!$N$5:$N$64,MATCH($A14,Payments!$B$5:$B$64,0)),""))</f>
        <v/>
      </c>
    </row>
    <row r="15" customFormat="false" ht="21.75" hidden="false" customHeight="true" outlineLevel="0" collapsed="false">
      <c r="A15" s="30"/>
      <c r="B15" s="20" t="str">
        <f aca="false">IF($A15="","",IFERROR(INDEX('Fragrance Projects'!$C$5:$C$64,MATCH($A15,'Fragrance Projects'!$A$5:$A$64,0)),""))</f>
        <v/>
      </c>
      <c r="C15" s="20" t="str">
        <f aca="false">IF($A15="","",IFERROR(INDEX('Fragrance Projects'!$D$5:$D$64,MATCH($A15,'Fragrance Projects'!$A$5:$A$64,0)),""))</f>
        <v/>
      </c>
      <c r="D15" s="30"/>
      <c r="E15" s="30"/>
      <c r="F15" s="20" t="str">
        <f aca="false">IF($A15="","",IFERROR(INDEX(Clients!$R$5:$R$44,MATCH($W15,Clients!$A$5:$A$44,0)),""))</f>
        <v/>
      </c>
      <c r="G15" s="20" t="str">
        <f aca="false">IF($A15="","",IF(IFERROR(INDEX(Payments!$G$5:$G$64,MATCH($A15,Payments!$B$5:$B$64,0)),0)&gt;0,"Yes","No"))</f>
        <v/>
      </c>
      <c r="H15" s="20" t="str">
        <f aca="false">IF($A15="","",IFERROR(INDEX('Fragrance Projects'!$L$5:$L$64,MATCH($A15,'Fragrance Projects'!$A$5:$A$64,0)),""))</f>
        <v/>
      </c>
      <c r="I15" s="20" t="str">
        <f aca="false">IF($A15="","",IF(AND(IFERROR(INDEX(Clients!$T$5:$T$44,MATCH($W15,Clients!$A$5:$A$44,0)),"")&lt;&gt;"",IFERROR(INDEX(Clients!$T$5:$T$44,MATCH($W15,Clients!$A$5:$A$44,0)),"")&lt;&gt;"Not Yet Agreed"),"Yes","No"))</f>
        <v/>
      </c>
      <c r="J15" s="30"/>
      <c r="K15" s="30"/>
      <c r="L15" s="30"/>
      <c r="M15" s="30"/>
      <c r="N15" s="30"/>
      <c r="O15" s="20" t="str">
        <f aca="false">IF($A15="","",IF(AND($Y15&lt;&gt;"",$Y15&gt;0,$X15&gt;0.4*$Y15),"Yes","No"))</f>
        <v/>
      </c>
      <c r="P15" s="20" t="str">
        <f aca="false">IF($A15="","",IF(AND($Z15&lt;&gt;"",$Z15&lt;0.15),"Yes","No"))</f>
        <v/>
      </c>
      <c r="Q15" s="20" t="str">
        <f aca="false">IF($A15="","",IF($AA15="Overdue","Yes","No"))</f>
        <v/>
      </c>
      <c r="R15" s="30"/>
      <c r="S15" s="30"/>
      <c r="T15" s="30"/>
      <c r="U15" s="20" t="str">
        <f aca="false">IF($A15="","",_xlfn.IFS((IF($D15="No",1,0)+IF($E15="No",1,0)+IF($F15="No",1,0)+IF($G15="No",1,0)+IF($I15="No",1,0)+IF($J15="No",1,0)+IF($K15="No",1,0)+IF($L15="Yes",1,0)+IF($M15="Yes",1,0)+IF($N15="Yes",1,0)+IF($O15="Yes",1,0)+IF($P15="Yes",1,0)+IF($Q15="Yes",1,0)+IF($R15="Yes",1,0)+IF($S15="No",1,0)+IF($T15="No",1,0))&lt;=2,"LOW",(IF($D15="No",1,0)+IF($E15="No",1,0)+IF($F15="No",1,0)+IF($G15="No",1,0)+IF($I15="No",1,0)+IF($J15="No",1,0)+IF($K15="No",1,0)+IF($L15="Yes",1,0)+IF($M15="Yes",1,0)+IF($N15="Yes",1,0)+IF($O15="Yes",1,0)+IF($P15="Yes",1,0)+IF($Q15="Yes",1,0)+IF($R15="Yes",1,0)+IF($S15="No",1,0)+IF($T15="No",1,0))&lt;=5,"MEDIUM",TRUE(),"HIGH"))</f>
        <v/>
      </c>
      <c r="V15" s="19" t="str">
        <f aca="false">IF($A15="","",IF(LEN(IF($D15="No","Scope undefined; ","")&amp;IF($E15="No","Brief unclear; ","")&amp;IF($F15="No","Contract not signed; ","")&amp;IF($G15="No","Deposit unpaid; ","")&amp;IF($I15="No","Ownership not agreed; ","")&amp;IF($J15="No","Deadline unrealistic; ","")&amp;IF($K15="No","Slow client response; ","")&amp;IF($L15="Yes","Brief keeps changing; ","")&amp;IF($M15="Yes","Extra work requested; ","")&amp;IF($N15="Yes","Exceeding expected hours; ","")&amp;IF($O15="Yes","Expenses over budget; ","")&amp;IF($P15="Yes","Margin too low; ","")&amp;IF($Q15="Yes","Payment overdue; ","")&amp;IF($R15="Yes","Scope creep; ","")&amp;IF($S15="No","Compliance unclear; ","")&amp;IF($T15="No","Manufacturing handover unclear; ",""))=0,"None — healthy",LEFT(IF($D15="No","Scope undefined; ","")&amp;IF($E15="No","Brief unclear; ","")&amp;IF($F15="No","Contract not signed; ","")&amp;IF($G15="No","Deposit unpaid; ","")&amp;IF($I15="No","Ownership not agreed; ","")&amp;IF($J15="No","Deadline unrealistic; ","")&amp;IF($K15="No","Slow client response; ","")&amp;IF($L15="Yes","Brief keeps changing; ","")&amp;IF($M15="Yes","Extra work requested; ","")&amp;IF($N15="Yes","Exceeding expected hours; ","")&amp;IF($O15="Yes","Expenses over budget; ","")&amp;IF($P15="Yes","Margin too low; ","")&amp;IF($Q15="Yes","Payment overdue; ","")&amp;IF($R15="Yes","Scope creep; ","")&amp;IF($S15="No","Compliance unclear; ","")&amp;IF($T15="No","Manufacturing handover unclear; ",""),LEN(IF($D15="No","Scope undefined; ","")&amp;IF($E15="No","Brief unclear; ","")&amp;IF($F15="No","Contract not signed; ","")&amp;IF($G15="No","Deposit unpaid; ","")&amp;IF($I15="No","Ownership not agreed; ","")&amp;IF($J15="No","Deadline unrealistic; ","")&amp;IF($K15="No","Slow client response; ","")&amp;IF($L15="Yes","Brief keeps changing; ","")&amp;IF($M15="Yes","Extra work requested; ","")&amp;IF($N15="Yes","Exceeding expected hours; ","")&amp;IF($O15="Yes","Expenses over budget; ","")&amp;IF($P15="Yes","Margin too low; ","")&amp;IF($Q15="Yes","Payment overdue; ","")&amp;IF($R15="Yes","Scope creep; ","")&amp;IF($S15="No","Compliance unclear; ","")&amp;IF($T15="No","Manufacturing handover unclear; ",""))-2)))</f>
        <v/>
      </c>
      <c r="W15" s="39" t="str">
        <f aca="false">IF($A15="","",IFERROR(INDEX('Fragrance Projects'!$B$5:$B$64,MATCH($A15,'Fragrance Projects'!$A$5:$A$64,0)),""))</f>
        <v/>
      </c>
      <c r="X15" s="39" t="str">
        <f aca="false">IF($A15="","",IFERROR(INDEX('Project Financials'!$U$5:$U$64,MATCH($A15,'Project Financials'!$A$5:$A$64,0)),""))</f>
        <v/>
      </c>
      <c r="Y15" s="39" t="str">
        <f aca="false">IF($A15="","",IFERROR(INDEX('Project Financials'!$D$5:$D$64,MATCH($A15,'Project Financials'!$A$5:$A$64,0)),""))</f>
        <v/>
      </c>
      <c r="Z15" s="39" t="str">
        <f aca="false">IF($A15="","",IFERROR(INDEX('Project Financials'!$AC$5:$AC$64,MATCH($A15,'Project Financials'!$A$5:$A$64,0)),""))</f>
        <v/>
      </c>
      <c r="AA15" s="39" t="str">
        <f aca="false">IF($A15="","",IFERROR(INDEX(Payments!$N$5:$N$64,MATCH($A15,Payments!$B$5:$B$64,0)),""))</f>
        <v/>
      </c>
    </row>
    <row r="16" customFormat="false" ht="21.75" hidden="false" customHeight="true" outlineLevel="0" collapsed="false">
      <c r="A16" s="30"/>
      <c r="B16" s="20" t="str">
        <f aca="false">IF($A16="","",IFERROR(INDEX('Fragrance Projects'!$C$5:$C$64,MATCH($A16,'Fragrance Projects'!$A$5:$A$64,0)),""))</f>
        <v/>
      </c>
      <c r="C16" s="20" t="str">
        <f aca="false">IF($A16="","",IFERROR(INDEX('Fragrance Projects'!$D$5:$D$64,MATCH($A16,'Fragrance Projects'!$A$5:$A$64,0)),""))</f>
        <v/>
      </c>
      <c r="D16" s="30"/>
      <c r="E16" s="30"/>
      <c r="F16" s="20" t="str">
        <f aca="false">IF($A16="","",IFERROR(INDEX(Clients!$R$5:$R$44,MATCH($W16,Clients!$A$5:$A$44,0)),""))</f>
        <v/>
      </c>
      <c r="G16" s="20" t="str">
        <f aca="false">IF($A16="","",IF(IFERROR(INDEX(Payments!$G$5:$G$64,MATCH($A16,Payments!$B$5:$B$64,0)),0)&gt;0,"Yes","No"))</f>
        <v/>
      </c>
      <c r="H16" s="20" t="str">
        <f aca="false">IF($A16="","",IFERROR(INDEX('Fragrance Projects'!$L$5:$L$64,MATCH($A16,'Fragrance Projects'!$A$5:$A$64,0)),""))</f>
        <v/>
      </c>
      <c r="I16" s="20" t="str">
        <f aca="false">IF($A16="","",IF(AND(IFERROR(INDEX(Clients!$T$5:$T$44,MATCH($W16,Clients!$A$5:$A$44,0)),"")&lt;&gt;"",IFERROR(INDEX(Clients!$T$5:$T$44,MATCH($W16,Clients!$A$5:$A$44,0)),"")&lt;&gt;"Not Yet Agreed"),"Yes","No"))</f>
        <v/>
      </c>
      <c r="J16" s="30"/>
      <c r="K16" s="30"/>
      <c r="L16" s="30"/>
      <c r="M16" s="30"/>
      <c r="N16" s="30"/>
      <c r="O16" s="20" t="str">
        <f aca="false">IF($A16="","",IF(AND($Y16&lt;&gt;"",$Y16&gt;0,$X16&gt;0.4*$Y16),"Yes","No"))</f>
        <v/>
      </c>
      <c r="P16" s="20" t="str">
        <f aca="false">IF($A16="","",IF(AND($Z16&lt;&gt;"",$Z16&lt;0.15),"Yes","No"))</f>
        <v/>
      </c>
      <c r="Q16" s="20" t="str">
        <f aca="false">IF($A16="","",IF($AA16="Overdue","Yes","No"))</f>
        <v/>
      </c>
      <c r="R16" s="30"/>
      <c r="S16" s="30"/>
      <c r="T16" s="30"/>
      <c r="U16" s="20" t="str">
        <f aca="false">IF($A16="","",_xlfn.IFS((IF($D16="No",1,0)+IF($E16="No",1,0)+IF($F16="No",1,0)+IF($G16="No",1,0)+IF($I16="No",1,0)+IF($J16="No",1,0)+IF($K16="No",1,0)+IF($L16="Yes",1,0)+IF($M16="Yes",1,0)+IF($N16="Yes",1,0)+IF($O16="Yes",1,0)+IF($P16="Yes",1,0)+IF($Q16="Yes",1,0)+IF($R16="Yes",1,0)+IF($S16="No",1,0)+IF($T16="No",1,0))&lt;=2,"LOW",(IF($D16="No",1,0)+IF($E16="No",1,0)+IF($F16="No",1,0)+IF($G16="No",1,0)+IF($I16="No",1,0)+IF($J16="No",1,0)+IF($K16="No",1,0)+IF($L16="Yes",1,0)+IF($M16="Yes",1,0)+IF($N16="Yes",1,0)+IF($O16="Yes",1,0)+IF($P16="Yes",1,0)+IF($Q16="Yes",1,0)+IF($R16="Yes",1,0)+IF($S16="No",1,0)+IF($T16="No",1,0))&lt;=5,"MEDIUM",TRUE(),"HIGH"))</f>
        <v/>
      </c>
      <c r="V16" s="19" t="str">
        <f aca="false">IF($A16="","",IF(LEN(IF($D16="No","Scope undefined; ","")&amp;IF($E16="No","Brief unclear; ","")&amp;IF($F16="No","Contract not signed; ","")&amp;IF($G16="No","Deposit unpaid; ","")&amp;IF($I16="No","Ownership not agreed; ","")&amp;IF($J16="No","Deadline unrealistic; ","")&amp;IF($K16="No","Slow client response; ","")&amp;IF($L16="Yes","Brief keeps changing; ","")&amp;IF($M16="Yes","Extra work requested; ","")&amp;IF($N16="Yes","Exceeding expected hours; ","")&amp;IF($O16="Yes","Expenses over budget; ","")&amp;IF($P16="Yes","Margin too low; ","")&amp;IF($Q16="Yes","Payment overdue; ","")&amp;IF($R16="Yes","Scope creep; ","")&amp;IF($S16="No","Compliance unclear; ","")&amp;IF($T16="No","Manufacturing handover unclear; ",""))=0,"None — healthy",LEFT(IF($D16="No","Scope undefined; ","")&amp;IF($E16="No","Brief unclear; ","")&amp;IF($F16="No","Contract not signed; ","")&amp;IF($G16="No","Deposit unpaid; ","")&amp;IF($I16="No","Ownership not agreed; ","")&amp;IF($J16="No","Deadline unrealistic; ","")&amp;IF($K16="No","Slow client response; ","")&amp;IF($L16="Yes","Brief keeps changing; ","")&amp;IF($M16="Yes","Extra work requested; ","")&amp;IF($N16="Yes","Exceeding expected hours; ","")&amp;IF($O16="Yes","Expenses over budget; ","")&amp;IF($P16="Yes","Margin too low; ","")&amp;IF($Q16="Yes","Payment overdue; ","")&amp;IF($R16="Yes","Scope creep; ","")&amp;IF($S16="No","Compliance unclear; ","")&amp;IF($T16="No","Manufacturing handover unclear; ",""),LEN(IF($D16="No","Scope undefined; ","")&amp;IF($E16="No","Brief unclear; ","")&amp;IF($F16="No","Contract not signed; ","")&amp;IF($G16="No","Deposit unpaid; ","")&amp;IF($I16="No","Ownership not agreed; ","")&amp;IF($J16="No","Deadline unrealistic; ","")&amp;IF($K16="No","Slow client response; ","")&amp;IF($L16="Yes","Brief keeps changing; ","")&amp;IF($M16="Yes","Extra work requested; ","")&amp;IF($N16="Yes","Exceeding expected hours; ","")&amp;IF($O16="Yes","Expenses over budget; ","")&amp;IF($P16="Yes","Margin too low; ","")&amp;IF($Q16="Yes","Payment overdue; ","")&amp;IF($R16="Yes","Scope creep; ","")&amp;IF($S16="No","Compliance unclear; ","")&amp;IF($T16="No","Manufacturing handover unclear; ",""))-2)))</f>
        <v/>
      </c>
      <c r="W16" s="39" t="str">
        <f aca="false">IF($A16="","",IFERROR(INDEX('Fragrance Projects'!$B$5:$B$64,MATCH($A16,'Fragrance Projects'!$A$5:$A$64,0)),""))</f>
        <v/>
      </c>
      <c r="X16" s="39" t="str">
        <f aca="false">IF($A16="","",IFERROR(INDEX('Project Financials'!$U$5:$U$64,MATCH($A16,'Project Financials'!$A$5:$A$64,0)),""))</f>
        <v/>
      </c>
      <c r="Y16" s="39" t="str">
        <f aca="false">IF($A16="","",IFERROR(INDEX('Project Financials'!$D$5:$D$64,MATCH($A16,'Project Financials'!$A$5:$A$64,0)),""))</f>
        <v/>
      </c>
      <c r="Z16" s="39" t="str">
        <f aca="false">IF($A16="","",IFERROR(INDEX('Project Financials'!$AC$5:$AC$64,MATCH($A16,'Project Financials'!$A$5:$A$64,0)),""))</f>
        <v/>
      </c>
      <c r="AA16" s="39" t="str">
        <f aca="false">IF($A16="","",IFERROR(INDEX(Payments!$N$5:$N$64,MATCH($A16,Payments!$B$5:$B$64,0)),""))</f>
        <v/>
      </c>
    </row>
    <row r="17" customFormat="false" ht="21.75" hidden="false" customHeight="true" outlineLevel="0" collapsed="false">
      <c r="A17" s="30"/>
      <c r="B17" s="20" t="str">
        <f aca="false">IF($A17="","",IFERROR(INDEX('Fragrance Projects'!$C$5:$C$64,MATCH($A17,'Fragrance Projects'!$A$5:$A$64,0)),""))</f>
        <v/>
      </c>
      <c r="C17" s="20" t="str">
        <f aca="false">IF($A17="","",IFERROR(INDEX('Fragrance Projects'!$D$5:$D$64,MATCH($A17,'Fragrance Projects'!$A$5:$A$64,0)),""))</f>
        <v/>
      </c>
      <c r="D17" s="30"/>
      <c r="E17" s="30"/>
      <c r="F17" s="20" t="str">
        <f aca="false">IF($A17="","",IFERROR(INDEX(Clients!$R$5:$R$44,MATCH($W17,Clients!$A$5:$A$44,0)),""))</f>
        <v/>
      </c>
      <c r="G17" s="20" t="str">
        <f aca="false">IF($A17="","",IF(IFERROR(INDEX(Payments!$G$5:$G$64,MATCH($A17,Payments!$B$5:$B$64,0)),0)&gt;0,"Yes","No"))</f>
        <v/>
      </c>
      <c r="H17" s="20" t="str">
        <f aca="false">IF($A17="","",IFERROR(INDEX('Fragrance Projects'!$L$5:$L$64,MATCH($A17,'Fragrance Projects'!$A$5:$A$64,0)),""))</f>
        <v/>
      </c>
      <c r="I17" s="20" t="str">
        <f aca="false">IF($A17="","",IF(AND(IFERROR(INDEX(Clients!$T$5:$T$44,MATCH($W17,Clients!$A$5:$A$44,0)),"")&lt;&gt;"",IFERROR(INDEX(Clients!$T$5:$T$44,MATCH($W17,Clients!$A$5:$A$44,0)),"")&lt;&gt;"Not Yet Agreed"),"Yes","No"))</f>
        <v/>
      </c>
      <c r="J17" s="30"/>
      <c r="K17" s="30"/>
      <c r="L17" s="30"/>
      <c r="M17" s="30"/>
      <c r="N17" s="30"/>
      <c r="O17" s="20" t="str">
        <f aca="false">IF($A17="","",IF(AND($Y17&lt;&gt;"",$Y17&gt;0,$X17&gt;0.4*$Y17),"Yes","No"))</f>
        <v/>
      </c>
      <c r="P17" s="20" t="str">
        <f aca="false">IF($A17="","",IF(AND($Z17&lt;&gt;"",$Z17&lt;0.15),"Yes","No"))</f>
        <v/>
      </c>
      <c r="Q17" s="20" t="str">
        <f aca="false">IF($A17="","",IF($AA17="Overdue","Yes","No"))</f>
        <v/>
      </c>
      <c r="R17" s="30"/>
      <c r="S17" s="30"/>
      <c r="T17" s="30"/>
      <c r="U17" s="20" t="str">
        <f aca="false">IF($A17="","",_xlfn.IFS((IF($D17="No",1,0)+IF($E17="No",1,0)+IF($F17="No",1,0)+IF($G17="No",1,0)+IF($I17="No",1,0)+IF($J17="No",1,0)+IF($K17="No",1,0)+IF($L17="Yes",1,0)+IF($M17="Yes",1,0)+IF($N17="Yes",1,0)+IF($O17="Yes",1,0)+IF($P17="Yes",1,0)+IF($Q17="Yes",1,0)+IF($R17="Yes",1,0)+IF($S17="No",1,0)+IF($T17="No",1,0))&lt;=2,"LOW",(IF($D17="No",1,0)+IF($E17="No",1,0)+IF($F17="No",1,0)+IF($G17="No",1,0)+IF($I17="No",1,0)+IF($J17="No",1,0)+IF($K17="No",1,0)+IF($L17="Yes",1,0)+IF($M17="Yes",1,0)+IF($N17="Yes",1,0)+IF($O17="Yes",1,0)+IF($P17="Yes",1,0)+IF($Q17="Yes",1,0)+IF($R17="Yes",1,0)+IF($S17="No",1,0)+IF($T17="No",1,0))&lt;=5,"MEDIUM",TRUE(),"HIGH"))</f>
        <v/>
      </c>
      <c r="V17" s="19" t="str">
        <f aca="false">IF($A17="","",IF(LEN(IF($D17="No","Scope undefined; ","")&amp;IF($E17="No","Brief unclear; ","")&amp;IF($F17="No","Contract not signed; ","")&amp;IF($G17="No","Deposit unpaid; ","")&amp;IF($I17="No","Ownership not agreed; ","")&amp;IF($J17="No","Deadline unrealistic; ","")&amp;IF($K17="No","Slow client response; ","")&amp;IF($L17="Yes","Brief keeps changing; ","")&amp;IF($M17="Yes","Extra work requested; ","")&amp;IF($N17="Yes","Exceeding expected hours; ","")&amp;IF($O17="Yes","Expenses over budget; ","")&amp;IF($P17="Yes","Margin too low; ","")&amp;IF($Q17="Yes","Payment overdue; ","")&amp;IF($R17="Yes","Scope creep; ","")&amp;IF($S17="No","Compliance unclear; ","")&amp;IF($T17="No","Manufacturing handover unclear; ",""))=0,"None — healthy",LEFT(IF($D17="No","Scope undefined; ","")&amp;IF($E17="No","Brief unclear; ","")&amp;IF($F17="No","Contract not signed; ","")&amp;IF($G17="No","Deposit unpaid; ","")&amp;IF($I17="No","Ownership not agreed; ","")&amp;IF($J17="No","Deadline unrealistic; ","")&amp;IF($K17="No","Slow client response; ","")&amp;IF($L17="Yes","Brief keeps changing; ","")&amp;IF($M17="Yes","Extra work requested; ","")&amp;IF($N17="Yes","Exceeding expected hours; ","")&amp;IF($O17="Yes","Expenses over budget; ","")&amp;IF($P17="Yes","Margin too low; ","")&amp;IF($Q17="Yes","Payment overdue; ","")&amp;IF($R17="Yes","Scope creep; ","")&amp;IF($S17="No","Compliance unclear; ","")&amp;IF($T17="No","Manufacturing handover unclear; ",""),LEN(IF($D17="No","Scope undefined; ","")&amp;IF($E17="No","Brief unclear; ","")&amp;IF($F17="No","Contract not signed; ","")&amp;IF($G17="No","Deposit unpaid; ","")&amp;IF($I17="No","Ownership not agreed; ","")&amp;IF($J17="No","Deadline unrealistic; ","")&amp;IF($K17="No","Slow client response; ","")&amp;IF($L17="Yes","Brief keeps changing; ","")&amp;IF($M17="Yes","Extra work requested; ","")&amp;IF($N17="Yes","Exceeding expected hours; ","")&amp;IF($O17="Yes","Expenses over budget; ","")&amp;IF($P17="Yes","Margin too low; ","")&amp;IF($Q17="Yes","Payment overdue; ","")&amp;IF($R17="Yes","Scope creep; ","")&amp;IF($S17="No","Compliance unclear; ","")&amp;IF($T17="No","Manufacturing handover unclear; ",""))-2)))</f>
        <v/>
      </c>
      <c r="W17" s="39" t="str">
        <f aca="false">IF($A17="","",IFERROR(INDEX('Fragrance Projects'!$B$5:$B$64,MATCH($A17,'Fragrance Projects'!$A$5:$A$64,0)),""))</f>
        <v/>
      </c>
      <c r="X17" s="39" t="str">
        <f aca="false">IF($A17="","",IFERROR(INDEX('Project Financials'!$U$5:$U$64,MATCH($A17,'Project Financials'!$A$5:$A$64,0)),""))</f>
        <v/>
      </c>
      <c r="Y17" s="39" t="str">
        <f aca="false">IF($A17="","",IFERROR(INDEX('Project Financials'!$D$5:$D$64,MATCH($A17,'Project Financials'!$A$5:$A$64,0)),""))</f>
        <v/>
      </c>
      <c r="Z17" s="39" t="str">
        <f aca="false">IF($A17="","",IFERROR(INDEX('Project Financials'!$AC$5:$AC$64,MATCH($A17,'Project Financials'!$A$5:$A$64,0)),""))</f>
        <v/>
      </c>
      <c r="AA17" s="39" t="str">
        <f aca="false">IF($A17="","",IFERROR(INDEX(Payments!$N$5:$N$64,MATCH($A17,Payments!$B$5:$B$64,0)),""))</f>
        <v/>
      </c>
    </row>
    <row r="18" customFormat="false" ht="21.75" hidden="false" customHeight="true" outlineLevel="0" collapsed="false">
      <c r="A18" s="30"/>
      <c r="B18" s="20" t="str">
        <f aca="false">IF($A18="","",IFERROR(INDEX('Fragrance Projects'!$C$5:$C$64,MATCH($A18,'Fragrance Projects'!$A$5:$A$64,0)),""))</f>
        <v/>
      </c>
      <c r="C18" s="20" t="str">
        <f aca="false">IF($A18="","",IFERROR(INDEX('Fragrance Projects'!$D$5:$D$64,MATCH($A18,'Fragrance Projects'!$A$5:$A$64,0)),""))</f>
        <v/>
      </c>
      <c r="D18" s="30"/>
      <c r="E18" s="30"/>
      <c r="F18" s="20" t="str">
        <f aca="false">IF($A18="","",IFERROR(INDEX(Clients!$R$5:$R$44,MATCH($W18,Clients!$A$5:$A$44,0)),""))</f>
        <v/>
      </c>
      <c r="G18" s="20" t="str">
        <f aca="false">IF($A18="","",IF(IFERROR(INDEX(Payments!$G$5:$G$64,MATCH($A18,Payments!$B$5:$B$64,0)),0)&gt;0,"Yes","No"))</f>
        <v/>
      </c>
      <c r="H18" s="20" t="str">
        <f aca="false">IF($A18="","",IFERROR(INDEX('Fragrance Projects'!$L$5:$L$64,MATCH($A18,'Fragrance Projects'!$A$5:$A$64,0)),""))</f>
        <v/>
      </c>
      <c r="I18" s="20" t="str">
        <f aca="false">IF($A18="","",IF(AND(IFERROR(INDEX(Clients!$T$5:$T$44,MATCH($W18,Clients!$A$5:$A$44,0)),"")&lt;&gt;"",IFERROR(INDEX(Clients!$T$5:$T$44,MATCH($W18,Clients!$A$5:$A$44,0)),"")&lt;&gt;"Not Yet Agreed"),"Yes","No"))</f>
        <v/>
      </c>
      <c r="J18" s="30"/>
      <c r="K18" s="30"/>
      <c r="L18" s="30"/>
      <c r="M18" s="30"/>
      <c r="N18" s="30"/>
      <c r="O18" s="20" t="str">
        <f aca="false">IF($A18="","",IF(AND($Y18&lt;&gt;"",$Y18&gt;0,$X18&gt;0.4*$Y18),"Yes","No"))</f>
        <v/>
      </c>
      <c r="P18" s="20" t="str">
        <f aca="false">IF($A18="","",IF(AND($Z18&lt;&gt;"",$Z18&lt;0.15),"Yes","No"))</f>
        <v/>
      </c>
      <c r="Q18" s="20" t="str">
        <f aca="false">IF($A18="","",IF($AA18="Overdue","Yes","No"))</f>
        <v/>
      </c>
      <c r="R18" s="30"/>
      <c r="S18" s="30"/>
      <c r="T18" s="30"/>
      <c r="U18" s="20" t="str">
        <f aca="false">IF($A18="","",_xlfn.IFS((IF($D18="No",1,0)+IF($E18="No",1,0)+IF($F18="No",1,0)+IF($G18="No",1,0)+IF($I18="No",1,0)+IF($J18="No",1,0)+IF($K18="No",1,0)+IF($L18="Yes",1,0)+IF($M18="Yes",1,0)+IF($N18="Yes",1,0)+IF($O18="Yes",1,0)+IF($P18="Yes",1,0)+IF($Q18="Yes",1,0)+IF($R18="Yes",1,0)+IF($S18="No",1,0)+IF($T18="No",1,0))&lt;=2,"LOW",(IF($D18="No",1,0)+IF($E18="No",1,0)+IF($F18="No",1,0)+IF($G18="No",1,0)+IF($I18="No",1,0)+IF($J18="No",1,0)+IF($K18="No",1,0)+IF($L18="Yes",1,0)+IF($M18="Yes",1,0)+IF($N18="Yes",1,0)+IF($O18="Yes",1,0)+IF($P18="Yes",1,0)+IF($Q18="Yes",1,0)+IF($R18="Yes",1,0)+IF($S18="No",1,0)+IF($T18="No",1,0))&lt;=5,"MEDIUM",TRUE(),"HIGH"))</f>
        <v/>
      </c>
      <c r="V18" s="19" t="str">
        <f aca="false">IF($A18="","",IF(LEN(IF($D18="No","Scope undefined; ","")&amp;IF($E18="No","Brief unclear; ","")&amp;IF($F18="No","Contract not signed; ","")&amp;IF($G18="No","Deposit unpaid; ","")&amp;IF($I18="No","Ownership not agreed; ","")&amp;IF($J18="No","Deadline unrealistic; ","")&amp;IF($K18="No","Slow client response; ","")&amp;IF($L18="Yes","Brief keeps changing; ","")&amp;IF($M18="Yes","Extra work requested; ","")&amp;IF($N18="Yes","Exceeding expected hours; ","")&amp;IF($O18="Yes","Expenses over budget; ","")&amp;IF($P18="Yes","Margin too low; ","")&amp;IF($Q18="Yes","Payment overdue; ","")&amp;IF($R18="Yes","Scope creep; ","")&amp;IF($S18="No","Compliance unclear; ","")&amp;IF($T18="No","Manufacturing handover unclear; ",""))=0,"None — healthy",LEFT(IF($D18="No","Scope undefined; ","")&amp;IF($E18="No","Brief unclear; ","")&amp;IF($F18="No","Contract not signed; ","")&amp;IF($G18="No","Deposit unpaid; ","")&amp;IF($I18="No","Ownership not agreed; ","")&amp;IF($J18="No","Deadline unrealistic; ","")&amp;IF($K18="No","Slow client response; ","")&amp;IF($L18="Yes","Brief keeps changing; ","")&amp;IF($M18="Yes","Extra work requested; ","")&amp;IF($N18="Yes","Exceeding expected hours; ","")&amp;IF($O18="Yes","Expenses over budget; ","")&amp;IF($P18="Yes","Margin too low; ","")&amp;IF($Q18="Yes","Payment overdue; ","")&amp;IF($R18="Yes","Scope creep; ","")&amp;IF($S18="No","Compliance unclear; ","")&amp;IF($T18="No","Manufacturing handover unclear; ",""),LEN(IF($D18="No","Scope undefined; ","")&amp;IF($E18="No","Brief unclear; ","")&amp;IF($F18="No","Contract not signed; ","")&amp;IF($G18="No","Deposit unpaid; ","")&amp;IF($I18="No","Ownership not agreed; ","")&amp;IF($J18="No","Deadline unrealistic; ","")&amp;IF($K18="No","Slow client response; ","")&amp;IF($L18="Yes","Brief keeps changing; ","")&amp;IF($M18="Yes","Extra work requested; ","")&amp;IF($N18="Yes","Exceeding expected hours; ","")&amp;IF($O18="Yes","Expenses over budget; ","")&amp;IF($P18="Yes","Margin too low; ","")&amp;IF($Q18="Yes","Payment overdue; ","")&amp;IF($R18="Yes","Scope creep; ","")&amp;IF($S18="No","Compliance unclear; ","")&amp;IF($T18="No","Manufacturing handover unclear; ",""))-2)))</f>
        <v/>
      </c>
      <c r="W18" s="39" t="str">
        <f aca="false">IF($A18="","",IFERROR(INDEX('Fragrance Projects'!$B$5:$B$64,MATCH($A18,'Fragrance Projects'!$A$5:$A$64,0)),""))</f>
        <v/>
      </c>
      <c r="X18" s="39" t="str">
        <f aca="false">IF($A18="","",IFERROR(INDEX('Project Financials'!$U$5:$U$64,MATCH($A18,'Project Financials'!$A$5:$A$64,0)),""))</f>
        <v/>
      </c>
      <c r="Y18" s="39" t="str">
        <f aca="false">IF($A18="","",IFERROR(INDEX('Project Financials'!$D$5:$D$64,MATCH($A18,'Project Financials'!$A$5:$A$64,0)),""))</f>
        <v/>
      </c>
      <c r="Z18" s="39" t="str">
        <f aca="false">IF($A18="","",IFERROR(INDEX('Project Financials'!$AC$5:$AC$64,MATCH($A18,'Project Financials'!$A$5:$A$64,0)),""))</f>
        <v/>
      </c>
      <c r="AA18" s="39" t="str">
        <f aca="false">IF($A18="","",IFERROR(INDEX(Payments!$N$5:$N$64,MATCH($A18,Payments!$B$5:$B$64,0)),""))</f>
        <v/>
      </c>
    </row>
    <row r="19" customFormat="false" ht="21.75" hidden="false" customHeight="true" outlineLevel="0" collapsed="false">
      <c r="A19" s="30"/>
      <c r="B19" s="20" t="str">
        <f aca="false">IF($A19="","",IFERROR(INDEX('Fragrance Projects'!$C$5:$C$64,MATCH($A19,'Fragrance Projects'!$A$5:$A$64,0)),""))</f>
        <v/>
      </c>
      <c r="C19" s="20" t="str">
        <f aca="false">IF($A19="","",IFERROR(INDEX('Fragrance Projects'!$D$5:$D$64,MATCH($A19,'Fragrance Projects'!$A$5:$A$64,0)),""))</f>
        <v/>
      </c>
      <c r="D19" s="30"/>
      <c r="E19" s="30"/>
      <c r="F19" s="20" t="str">
        <f aca="false">IF($A19="","",IFERROR(INDEX(Clients!$R$5:$R$44,MATCH($W19,Clients!$A$5:$A$44,0)),""))</f>
        <v/>
      </c>
      <c r="G19" s="20" t="str">
        <f aca="false">IF($A19="","",IF(IFERROR(INDEX(Payments!$G$5:$G$64,MATCH($A19,Payments!$B$5:$B$64,0)),0)&gt;0,"Yes","No"))</f>
        <v/>
      </c>
      <c r="H19" s="20" t="str">
        <f aca="false">IF($A19="","",IFERROR(INDEX('Fragrance Projects'!$L$5:$L$64,MATCH($A19,'Fragrance Projects'!$A$5:$A$64,0)),""))</f>
        <v/>
      </c>
      <c r="I19" s="20" t="str">
        <f aca="false">IF($A19="","",IF(AND(IFERROR(INDEX(Clients!$T$5:$T$44,MATCH($W19,Clients!$A$5:$A$44,0)),"")&lt;&gt;"",IFERROR(INDEX(Clients!$T$5:$T$44,MATCH($W19,Clients!$A$5:$A$44,0)),"")&lt;&gt;"Not Yet Agreed"),"Yes","No"))</f>
        <v/>
      </c>
      <c r="J19" s="30"/>
      <c r="K19" s="30"/>
      <c r="L19" s="30"/>
      <c r="M19" s="30"/>
      <c r="N19" s="30"/>
      <c r="O19" s="20" t="str">
        <f aca="false">IF($A19="","",IF(AND($Y19&lt;&gt;"",$Y19&gt;0,$X19&gt;0.4*$Y19),"Yes","No"))</f>
        <v/>
      </c>
      <c r="P19" s="20" t="str">
        <f aca="false">IF($A19="","",IF(AND($Z19&lt;&gt;"",$Z19&lt;0.15),"Yes","No"))</f>
        <v/>
      </c>
      <c r="Q19" s="20" t="str">
        <f aca="false">IF($A19="","",IF($AA19="Overdue","Yes","No"))</f>
        <v/>
      </c>
      <c r="R19" s="30"/>
      <c r="S19" s="30"/>
      <c r="T19" s="30"/>
      <c r="U19" s="20" t="str">
        <f aca="false">IF($A19="","",_xlfn.IFS((IF($D19="No",1,0)+IF($E19="No",1,0)+IF($F19="No",1,0)+IF($G19="No",1,0)+IF($I19="No",1,0)+IF($J19="No",1,0)+IF($K19="No",1,0)+IF($L19="Yes",1,0)+IF($M19="Yes",1,0)+IF($N19="Yes",1,0)+IF($O19="Yes",1,0)+IF($P19="Yes",1,0)+IF($Q19="Yes",1,0)+IF($R19="Yes",1,0)+IF($S19="No",1,0)+IF($T19="No",1,0))&lt;=2,"LOW",(IF($D19="No",1,0)+IF($E19="No",1,0)+IF($F19="No",1,0)+IF($G19="No",1,0)+IF($I19="No",1,0)+IF($J19="No",1,0)+IF($K19="No",1,0)+IF($L19="Yes",1,0)+IF($M19="Yes",1,0)+IF($N19="Yes",1,0)+IF($O19="Yes",1,0)+IF($P19="Yes",1,0)+IF($Q19="Yes",1,0)+IF($R19="Yes",1,0)+IF($S19="No",1,0)+IF($T19="No",1,0))&lt;=5,"MEDIUM",TRUE(),"HIGH"))</f>
        <v/>
      </c>
      <c r="V19" s="19" t="str">
        <f aca="false">IF($A19="","",IF(LEN(IF($D19="No","Scope undefined; ","")&amp;IF($E19="No","Brief unclear; ","")&amp;IF($F19="No","Contract not signed; ","")&amp;IF($G19="No","Deposit unpaid; ","")&amp;IF($I19="No","Ownership not agreed; ","")&amp;IF($J19="No","Deadline unrealistic; ","")&amp;IF($K19="No","Slow client response; ","")&amp;IF($L19="Yes","Brief keeps changing; ","")&amp;IF($M19="Yes","Extra work requested; ","")&amp;IF($N19="Yes","Exceeding expected hours; ","")&amp;IF($O19="Yes","Expenses over budget; ","")&amp;IF($P19="Yes","Margin too low; ","")&amp;IF($Q19="Yes","Payment overdue; ","")&amp;IF($R19="Yes","Scope creep; ","")&amp;IF($S19="No","Compliance unclear; ","")&amp;IF($T19="No","Manufacturing handover unclear; ",""))=0,"None — healthy",LEFT(IF($D19="No","Scope undefined; ","")&amp;IF($E19="No","Brief unclear; ","")&amp;IF($F19="No","Contract not signed; ","")&amp;IF($G19="No","Deposit unpaid; ","")&amp;IF($I19="No","Ownership not agreed; ","")&amp;IF($J19="No","Deadline unrealistic; ","")&amp;IF($K19="No","Slow client response; ","")&amp;IF($L19="Yes","Brief keeps changing; ","")&amp;IF($M19="Yes","Extra work requested; ","")&amp;IF($N19="Yes","Exceeding expected hours; ","")&amp;IF($O19="Yes","Expenses over budget; ","")&amp;IF($P19="Yes","Margin too low; ","")&amp;IF($Q19="Yes","Payment overdue; ","")&amp;IF($R19="Yes","Scope creep; ","")&amp;IF($S19="No","Compliance unclear; ","")&amp;IF($T19="No","Manufacturing handover unclear; ",""),LEN(IF($D19="No","Scope undefined; ","")&amp;IF($E19="No","Brief unclear; ","")&amp;IF($F19="No","Contract not signed; ","")&amp;IF($G19="No","Deposit unpaid; ","")&amp;IF($I19="No","Ownership not agreed; ","")&amp;IF($J19="No","Deadline unrealistic; ","")&amp;IF($K19="No","Slow client response; ","")&amp;IF($L19="Yes","Brief keeps changing; ","")&amp;IF($M19="Yes","Extra work requested; ","")&amp;IF($N19="Yes","Exceeding expected hours; ","")&amp;IF($O19="Yes","Expenses over budget; ","")&amp;IF($P19="Yes","Margin too low; ","")&amp;IF($Q19="Yes","Payment overdue; ","")&amp;IF($R19="Yes","Scope creep; ","")&amp;IF($S19="No","Compliance unclear; ","")&amp;IF($T19="No","Manufacturing handover unclear; ",""))-2)))</f>
        <v/>
      </c>
      <c r="W19" s="39" t="str">
        <f aca="false">IF($A19="","",IFERROR(INDEX('Fragrance Projects'!$B$5:$B$64,MATCH($A19,'Fragrance Projects'!$A$5:$A$64,0)),""))</f>
        <v/>
      </c>
      <c r="X19" s="39" t="str">
        <f aca="false">IF($A19="","",IFERROR(INDEX('Project Financials'!$U$5:$U$64,MATCH($A19,'Project Financials'!$A$5:$A$64,0)),""))</f>
        <v/>
      </c>
      <c r="Y19" s="39" t="str">
        <f aca="false">IF($A19="","",IFERROR(INDEX('Project Financials'!$D$5:$D$64,MATCH($A19,'Project Financials'!$A$5:$A$64,0)),""))</f>
        <v/>
      </c>
      <c r="Z19" s="39" t="str">
        <f aca="false">IF($A19="","",IFERROR(INDEX('Project Financials'!$AC$5:$AC$64,MATCH($A19,'Project Financials'!$A$5:$A$64,0)),""))</f>
        <v/>
      </c>
      <c r="AA19" s="39" t="str">
        <f aca="false">IF($A19="","",IFERROR(INDEX(Payments!$N$5:$N$64,MATCH($A19,Payments!$B$5:$B$64,0)),""))</f>
        <v/>
      </c>
    </row>
    <row r="20" customFormat="false" ht="21.75" hidden="false" customHeight="true" outlineLevel="0" collapsed="false">
      <c r="A20" s="30"/>
      <c r="B20" s="20" t="str">
        <f aca="false">IF($A20="","",IFERROR(INDEX('Fragrance Projects'!$C$5:$C$64,MATCH($A20,'Fragrance Projects'!$A$5:$A$64,0)),""))</f>
        <v/>
      </c>
      <c r="C20" s="20" t="str">
        <f aca="false">IF($A20="","",IFERROR(INDEX('Fragrance Projects'!$D$5:$D$64,MATCH($A20,'Fragrance Projects'!$A$5:$A$64,0)),""))</f>
        <v/>
      </c>
      <c r="D20" s="30"/>
      <c r="E20" s="30"/>
      <c r="F20" s="20" t="str">
        <f aca="false">IF($A20="","",IFERROR(INDEX(Clients!$R$5:$R$44,MATCH($W20,Clients!$A$5:$A$44,0)),""))</f>
        <v/>
      </c>
      <c r="G20" s="20" t="str">
        <f aca="false">IF($A20="","",IF(IFERROR(INDEX(Payments!$G$5:$G$64,MATCH($A20,Payments!$B$5:$B$64,0)),0)&gt;0,"Yes","No"))</f>
        <v/>
      </c>
      <c r="H20" s="20" t="str">
        <f aca="false">IF($A20="","",IFERROR(INDEX('Fragrance Projects'!$L$5:$L$64,MATCH($A20,'Fragrance Projects'!$A$5:$A$64,0)),""))</f>
        <v/>
      </c>
      <c r="I20" s="20" t="str">
        <f aca="false">IF($A20="","",IF(AND(IFERROR(INDEX(Clients!$T$5:$T$44,MATCH($W20,Clients!$A$5:$A$44,0)),"")&lt;&gt;"",IFERROR(INDEX(Clients!$T$5:$T$44,MATCH($W20,Clients!$A$5:$A$44,0)),"")&lt;&gt;"Not Yet Agreed"),"Yes","No"))</f>
        <v/>
      </c>
      <c r="J20" s="30"/>
      <c r="K20" s="30"/>
      <c r="L20" s="30"/>
      <c r="M20" s="30"/>
      <c r="N20" s="30"/>
      <c r="O20" s="20" t="str">
        <f aca="false">IF($A20="","",IF(AND($Y20&lt;&gt;"",$Y20&gt;0,$X20&gt;0.4*$Y20),"Yes","No"))</f>
        <v/>
      </c>
      <c r="P20" s="20" t="str">
        <f aca="false">IF($A20="","",IF(AND($Z20&lt;&gt;"",$Z20&lt;0.15),"Yes","No"))</f>
        <v/>
      </c>
      <c r="Q20" s="20" t="str">
        <f aca="false">IF($A20="","",IF($AA20="Overdue","Yes","No"))</f>
        <v/>
      </c>
      <c r="R20" s="30"/>
      <c r="S20" s="30"/>
      <c r="T20" s="30"/>
      <c r="U20" s="20" t="str">
        <f aca="false">IF($A20="","",_xlfn.IFS((IF($D20="No",1,0)+IF($E20="No",1,0)+IF($F20="No",1,0)+IF($G20="No",1,0)+IF($I20="No",1,0)+IF($J20="No",1,0)+IF($K20="No",1,0)+IF($L20="Yes",1,0)+IF($M20="Yes",1,0)+IF($N20="Yes",1,0)+IF($O20="Yes",1,0)+IF($P20="Yes",1,0)+IF($Q20="Yes",1,0)+IF($R20="Yes",1,0)+IF($S20="No",1,0)+IF($T20="No",1,0))&lt;=2,"LOW",(IF($D20="No",1,0)+IF($E20="No",1,0)+IF($F20="No",1,0)+IF($G20="No",1,0)+IF($I20="No",1,0)+IF($J20="No",1,0)+IF($K20="No",1,0)+IF($L20="Yes",1,0)+IF($M20="Yes",1,0)+IF($N20="Yes",1,0)+IF($O20="Yes",1,0)+IF($P20="Yes",1,0)+IF($Q20="Yes",1,0)+IF($R20="Yes",1,0)+IF($S20="No",1,0)+IF($T20="No",1,0))&lt;=5,"MEDIUM",TRUE(),"HIGH"))</f>
        <v/>
      </c>
      <c r="V20" s="19" t="str">
        <f aca="false">IF($A20="","",IF(LEN(IF($D20="No","Scope undefined; ","")&amp;IF($E20="No","Brief unclear; ","")&amp;IF($F20="No","Contract not signed; ","")&amp;IF($G20="No","Deposit unpaid; ","")&amp;IF($I20="No","Ownership not agreed; ","")&amp;IF($J20="No","Deadline unrealistic; ","")&amp;IF($K20="No","Slow client response; ","")&amp;IF($L20="Yes","Brief keeps changing; ","")&amp;IF($M20="Yes","Extra work requested; ","")&amp;IF($N20="Yes","Exceeding expected hours; ","")&amp;IF($O20="Yes","Expenses over budget; ","")&amp;IF($P20="Yes","Margin too low; ","")&amp;IF($Q20="Yes","Payment overdue; ","")&amp;IF($R20="Yes","Scope creep; ","")&amp;IF($S20="No","Compliance unclear; ","")&amp;IF($T20="No","Manufacturing handover unclear; ",""))=0,"None — healthy",LEFT(IF($D20="No","Scope undefined; ","")&amp;IF($E20="No","Brief unclear; ","")&amp;IF($F20="No","Contract not signed; ","")&amp;IF($G20="No","Deposit unpaid; ","")&amp;IF($I20="No","Ownership not agreed; ","")&amp;IF($J20="No","Deadline unrealistic; ","")&amp;IF($K20="No","Slow client response; ","")&amp;IF($L20="Yes","Brief keeps changing; ","")&amp;IF($M20="Yes","Extra work requested; ","")&amp;IF($N20="Yes","Exceeding expected hours; ","")&amp;IF($O20="Yes","Expenses over budget; ","")&amp;IF($P20="Yes","Margin too low; ","")&amp;IF($Q20="Yes","Payment overdue; ","")&amp;IF($R20="Yes","Scope creep; ","")&amp;IF($S20="No","Compliance unclear; ","")&amp;IF($T20="No","Manufacturing handover unclear; ",""),LEN(IF($D20="No","Scope undefined; ","")&amp;IF($E20="No","Brief unclear; ","")&amp;IF($F20="No","Contract not signed; ","")&amp;IF($G20="No","Deposit unpaid; ","")&amp;IF($I20="No","Ownership not agreed; ","")&amp;IF($J20="No","Deadline unrealistic; ","")&amp;IF($K20="No","Slow client response; ","")&amp;IF($L20="Yes","Brief keeps changing; ","")&amp;IF($M20="Yes","Extra work requested; ","")&amp;IF($N20="Yes","Exceeding expected hours; ","")&amp;IF($O20="Yes","Expenses over budget; ","")&amp;IF($P20="Yes","Margin too low; ","")&amp;IF($Q20="Yes","Payment overdue; ","")&amp;IF($R20="Yes","Scope creep; ","")&amp;IF($S20="No","Compliance unclear; ","")&amp;IF($T20="No","Manufacturing handover unclear; ",""))-2)))</f>
        <v/>
      </c>
      <c r="W20" s="39" t="str">
        <f aca="false">IF($A20="","",IFERROR(INDEX('Fragrance Projects'!$B$5:$B$64,MATCH($A20,'Fragrance Projects'!$A$5:$A$64,0)),""))</f>
        <v/>
      </c>
      <c r="X20" s="39" t="str">
        <f aca="false">IF($A20="","",IFERROR(INDEX('Project Financials'!$U$5:$U$64,MATCH($A20,'Project Financials'!$A$5:$A$64,0)),""))</f>
        <v/>
      </c>
      <c r="Y20" s="39" t="str">
        <f aca="false">IF($A20="","",IFERROR(INDEX('Project Financials'!$D$5:$D$64,MATCH($A20,'Project Financials'!$A$5:$A$64,0)),""))</f>
        <v/>
      </c>
      <c r="Z20" s="39" t="str">
        <f aca="false">IF($A20="","",IFERROR(INDEX('Project Financials'!$AC$5:$AC$64,MATCH($A20,'Project Financials'!$A$5:$A$64,0)),""))</f>
        <v/>
      </c>
      <c r="AA20" s="39" t="str">
        <f aca="false">IF($A20="","",IFERROR(INDEX(Payments!$N$5:$N$64,MATCH($A20,Payments!$B$5:$B$64,0)),""))</f>
        <v/>
      </c>
    </row>
    <row r="21" customFormat="false" ht="21.75" hidden="false" customHeight="true" outlineLevel="0" collapsed="false">
      <c r="A21" s="30"/>
      <c r="B21" s="20" t="str">
        <f aca="false">IF($A21="","",IFERROR(INDEX('Fragrance Projects'!$C$5:$C$64,MATCH($A21,'Fragrance Projects'!$A$5:$A$64,0)),""))</f>
        <v/>
      </c>
      <c r="C21" s="20" t="str">
        <f aca="false">IF($A21="","",IFERROR(INDEX('Fragrance Projects'!$D$5:$D$64,MATCH($A21,'Fragrance Projects'!$A$5:$A$64,0)),""))</f>
        <v/>
      </c>
      <c r="D21" s="30"/>
      <c r="E21" s="30"/>
      <c r="F21" s="20" t="str">
        <f aca="false">IF($A21="","",IFERROR(INDEX(Clients!$R$5:$R$44,MATCH($W21,Clients!$A$5:$A$44,0)),""))</f>
        <v/>
      </c>
      <c r="G21" s="20" t="str">
        <f aca="false">IF($A21="","",IF(IFERROR(INDEX(Payments!$G$5:$G$64,MATCH($A21,Payments!$B$5:$B$64,0)),0)&gt;0,"Yes","No"))</f>
        <v/>
      </c>
      <c r="H21" s="20" t="str">
        <f aca="false">IF($A21="","",IFERROR(INDEX('Fragrance Projects'!$L$5:$L$64,MATCH($A21,'Fragrance Projects'!$A$5:$A$64,0)),""))</f>
        <v/>
      </c>
      <c r="I21" s="20" t="str">
        <f aca="false">IF($A21="","",IF(AND(IFERROR(INDEX(Clients!$T$5:$T$44,MATCH($W21,Clients!$A$5:$A$44,0)),"")&lt;&gt;"",IFERROR(INDEX(Clients!$T$5:$T$44,MATCH($W21,Clients!$A$5:$A$44,0)),"")&lt;&gt;"Not Yet Agreed"),"Yes","No"))</f>
        <v/>
      </c>
      <c r="J21" s="30"/>
      <c r="K21" s="30"/>
      <c r="L21" s="30"/>
      <c r="M21" s="30"/>
      <c r="N21" s="30"/>
      <c r="O21" s="20" t="str">
        <f aca="false">IF($A21="","",IF(AND($Y21&lt;&gt;"",$Y21&gt;0,$X21&gt;0.4*$Y21),"Yes","No"))</f>
        <v/>
      </c>
      <c r="P21" s="20" t="str">
        <f aca="false">IF($A21="","",IF(AND($Z21&lt;&gt;"",$Z21&lt;0.15),"Yes","No"))</f>
        <v/>
      </c>
      <c r="Q21" s="20" t="str">
        <f aca="false">IF($A21="","",IF($AA21="Overdue","Yes","No"))</f>
        <v/>
      </c>
      <c r="R21" s="30"/>
      <c r="S21" s="30"/>
      <c r="T21" s="30"/>
      <c r="U21" s="20" t="str">
        <f aca="false">IF($A21="","",_xlfn.IFS((IF($D21="No",1,0)+IF($E21="No",1,0)+IF($F21="No",1,0)+IF($G21="No",1,0)+IF($I21="No",1,0)+IF($J21="No",1,0)+IF($K21="No",1,0)+IF($L21="Yes",1,0)+IF($M21="Yes",1,0)+IF($N21="Yes",1,0)+IF($O21="Yes",1,0)+IF($P21="Yes",1,0)+IF($Q21="Yes",1,0)+IF($R21="Yes",1,0)+IF($S21="No",1,0)+IF($T21="No",1,0))&lt;=2,"LOW",(IF($D21="No",1,0)+IF($E21="No",1,0)+IF($F21="No",1,0)+IF($G21="No",1,0)+IF($I21="No",1,0)+IF($J21="No",1,0)+IF($K21="No",1,0)+IF($L21="Yes",1,0)+IF($M21="Yes",1,0)+IF($N21="Yes",1,0)+IF($O21="Yes",1,0)+IF($P21="Yes",1,0)+IF($Q21="Yes",1,0)+IF($R21="Yes",1,0)+IF($S21="No",1,0)+IF($T21="No",1,0))&lt;=5,"MEDIUM",TRUE(),"HIGH"))</f>
        <v/>
      </c>
      <c r="V21" s="19" t="str">
        <f aca="false">IF($A21="","",IF(LEN(IF($D21="No","Scope undefined; ","")&amp;IF($E21="No","Brief unclear; ","")&amp;IF($F21="No","Contract not signed; ","")&amp;IF($G21="No","Deposit unpaid; ","")&amp;IF($I21="No","Ownership not agreed; ","")&amp;IF($J21="No","Deadline unrealistic; ","")&amp;IF($K21="No","Slow client response; ","")&amp;IF($L21="Yes","Brief keeps changing; ","")&amp;IF($M21="Yes","Extra work requested; ","")&amp;IF($N21="Yes","Exceeding expected hours; ","")&amp;IF($O21="Yes","Expenses over budget; ","")&amp;IF($P21="Yes","Margin too low; ","")&amp;IF($Q21="Yes","Payment overdue; ","")&amp;IF($R21="Yes","Scope creep; ","")&amp;IF($S21="No","Compliance unclear; ","")&amp;IF($T21="No","Manufacturing handover unclear; ",""))=0,"None — healthy",LEFT(IF($D21="No","Scope undefined; ","")&amp;IF($E21="No","Brief unclear; ","")&amp;IF($F21="No","Contract not signed; ","")&amp;IF($G21="No","Deposit unpaid; ","")&amp;IF($I21="No","Ownership not agreed; ","")&amp;IF($J21="No","Deadline unrealistic; ","")&amp;IF($K21="No","Slow client response; ","")&amp;IF($L21="Yes","Brief keeps changing; ","")&amp;IF($M21="Yes","Extra work requested; ","")&amp;IF($N21="Yes","Exceeding expected hours; ","")&amp;IF($O21="Yes","Expenses over budget; ","")&amp;IF($P21="Yes","Margin too low; ","")&amp;IF($Q21="Yes","Payment overdue; ","")&amp;IF($R21="Yes","Scope creep; ","")&amp;IF($S21="No","Compliance unclear; ","")&amp;IF($T21="No","Manufacturing handover unclear; ",""),LEN(IF($D21="No","Scope undefined; ","")&amp;IF($E21="No","Brief unclear; ","")&amp;IF($F21="No","Contract not signed; ","")&amp;IF($G21="No","Deposit unpaid; ","")&amp;IF($I21="No","Ownership not agreed; ","")&amp;IF($J21="No","Deadline unrealistic; ","")&amp;IF($K21="No","Slow client response; ","")&amp;IF($L21="Yes","Brief keeps changing; ","")&amp;IF($M21="Yes","Extra work requested; ","")&amp;IF($N21="Yes","Exceeding expected hours; ","")&amp;IF($O21="Yes","Expenses over budget; ","")&amp;IF($P21="Yes","Margin too low; ","")&amp;IF($Q21="Yes","Payment overdue; ","")&amp;IF($R21="Yes","Scope creep; ","")&amp;IF($S21="No","Compliance unclear; ","")&amp;IF($T21="No","Manufacturing handover unclear; ",""))-2)))</f>
        <v/>
      </c>
      <c r="W21" s="39" t="str">
        <f aca="false">IF($A21="","",IFERROR(INDEX('Fragrance Projects'!$B$5:$B$64,MATCH($A21,'Fragrance Projects'!$A$5:$A$64,0)),""))</f>
        <v/>
      </c>
      <c r="X21" s="39" t="str">
        <f aca="false">IF($A21="","",IFERROR(INDEX('Project Financials'!$U$5:$U$64,MATCH($A21,'Project Financials'!$A$5:$A$64,0)),""))</f>
        <v/>
      </c>
      <c r="Y21" s="39" t="str">
        <f aca="false">IF($A21="","",IFERROR(INDEX('Project Financials'!$D$5:$D$64,MATCH($A21,'Project Financials'!$A$5:$A$64,0)),""))</f>
        <v/>
      </c>
      <c r="Z21" s="39" t="str">
        <f aca="false">IF($A21="","",IFERROR(INDEX('Project Financials'!$AC$5:$AC$64,MATCH($A21,'Project Financials'!$A$5:$A$64,0)),""))</f>
        <v/>
      </c>
      <c r="AA21" s="39" t="str">
        <f aca="false">IF($A21="","",IFERROR(INDEX(Payments!$N$5:$N$64,MATCH($A21,Payments!$B$5:$B$64,0)),""))</f>
        <v/>
      </c>
    </row>
    <row r="22" customFormat="false" ht="21.75" hidden="false" customHeight="true" outlineLevel="0" collapsed="false">
      <c r="A22" s="30"/>
      <c r="B22" s="20" t="str">
        <f aca="false">IF($A22="","",IFERROR(INDEX('Fragrance Projects'!$C$5:$C$64,MATCH($A22,'Fragrance Projects'!$A$5:$A$64,0)),""))</f>
        <v/>
      </c>
      <c r="C22" s="20" t="str">
        <f aca="false">IF($A22="","",IFERROR(INDEX('Fragrance Projects'!$D$5:$D$64,MATCH($A22,'Fragrance Projects'!$A$5:$A$64,0)),""))</f>
        <v/>
      </c>
      <c r="D22" s="30"/>
      <c r="E22" s="30"/>
      <c r="F22" s="20" t="str">
        <f aca="false">IF($A22="","",IFERROR(INDEX(Clients!$R$5:$R$44,MATCH($W22,Clients!$A$5:$A$44,0)),""))</f>
        <v/>
      </c>
      <c r="G22" s="20" t="str">
        <f aca="false">IF($A22="","",IF(IFERROR(INDEX(Payments!$G$5:$G$64,MATCH($A22,Payments!$B$5:$B$64,0)),0)&gt;0,"Yes","No"))</f>
        <v/>
      </c>
      <c r="H22" s="20" t="str">
        <f aca="false">IF($A22="","",IFERROR(INDEX('Fragrance Projects'!$L$5:$L$64,MATCH($A22,'Fragrance Projects'!$A$5:$A$64,0)),""))</f>
        <v/>
      </c>
      <c r="I22" s="20" t="str">
        <f aca="false">IF($A22="","",IF(AND(IFERROR(INDEX(Clients!$T$5:$T$44,MATCH($W22,Clients!$A$5:$A$44,0)),"")&lt;&gt;"",IFERROR(INDEX(Clients!$T$5:$T$44,MATCH($W22,Clients!$A$5:$A$44,0)),"")&lt;&gt;"Not Yet Agreed"),"Yes","No"))</f>
        <v/>
      </c>
      <c r="J22" s="30"/>
      <c r="K22" s="30"/>
      <c r="L22" s="30"/>
      <c r="M22" s="30"/>
      <c r="N22" s="30"/>
      <c r="O22" s="20" t="str">
        <f aca="false">IF($A22="","",IF(AND($Y22&lt;&gt;"",$Y22&gt;0,$X22&gt;0.4*$Y22),"Yes","No"))</f>
        <v/>
      </c>
      <c r="P22" s="20" t="str">
        <f aca="false">IF($A22="","",IF(AND($Z22&lt;&gt;"",$Z22&lt;0.15),"Yes","No"))</f>
        <v/>
      </c>
      <c r="Q22" s="20" t="str">
        <f aca="false">IF($A22="","",IF($AA22="Overdue","Yes","No"))</f>
        <v/>
      </c>
      <c r="R22" s="30"/>
      <c r="S22" s="30"/>
      <c r="T22" s="30"/>
      <c r="U22" s="20" t="str">
        <f aca="false">IF($A22="","",_xlfn.IFS((IF($D22="No",1,0)+IF($E22="No",1,0)+IF($F22="No",1,0)+IF($G22="No",1,0)+IF($I22="No",1,0)+IF($J22="No",1,0)+IF($K22="No",1,0)+IF($L22="Yes",1,0)+IF($M22="Yes",1,0)+IF($N22="Yes",1,0)+IF($O22="Yes",1,0)+IF($P22="Yes",1,0)+IF($Q22="Yes",1,0)+IF($R22="Yes",1,0)+IF($S22="No",1,0)+IF($T22="No",1,0))&lt;=2,"LOW",(IF($D22="No",1,0)+IF($E22="No",1,0)+IF($F22="No",1,0)+IF($G22="No",1,0)+IF($I22="No",1,0)+IF($J22="No",1,0)+IF($K22="No",1,0)+IF($L22="Yes",1,0)+IF($M22="Yes",1,0)+IF($N22="Yes",1,0)+IF($O22="Yes",1,0)+IF($P22="Yes",1,0)+IF($Q22="Yes",1,0)+IF($R22="Yes",1,0)+IF($S22="No",1,0)+IF($T22="No",1,0))&lt;=5,"MEDIUM",TRUE(),"HIGH"))</f>
        <v/>
      </c>
      <c r="V22" s="19" t="str">
        <f aca="false">IF($A22="","",IF(LEN(IF($D22="No","Scope undefined; ","")&amp;IF($E22="No","Brief unclear; ","")&amp;IF($F22="No","Contract not signed; ","")&amp;IF($G22="No","Deposit unpaid; ","")&amp;IF($I22="No","Ownership not agreed; ","")&amp;IF($J22="No","Deadline unrealistic; ","")&amp;IF($K22="No","Slow client response; ","")&amp;IF($L22="Yes","Brief keeps changing; ","")&amp;IF($M22="Yes","Extra work requested; ","")&amp;IF($N22="Yes","Exceeding expected hours; ","")&amp;IF($O22="Yes","Expenses over budget; ","")&amp;IF($P22="Yes","Margin too low; ","")&amp;IF($Q22="Yes","Payment overdue; ","")&amp;IF($R22="Yes","Scope creep; ","")&amp;IF($S22="No","Compliance unclear; ","")&amp;IF($T22="No","Manufacturing handover unclear; ",""))=0,"None — healthy",LEFT(IF($D22="No","Scope undefined; ","")&amp;IF($E22="No","Brief unclear; ","")&amp;IF($F22="No","Contract not signed; ","")&amp;IF($G22="No","Deposit unpaid; ","")&amp;IF($I22="No","Ownership not agreed; ","")&amp;IF($J22="No","Deadline unrealistic; ","")&amp;IF($K22="No","Slow client response; ","")&amp;IF($L22="Yes","Brief keeps changing; ","")&amp;IF($M22="Yes","Extra work requested; ","")&amp;IF($N22="Yes","Exceeding expected hours; ","")&amp;IF($O22="Yes","Expenses over budget; ","")&amp;IF($P22="Yes","Margin too low; ","")&amp;IF($Q22="Yes","Payment overdue; ","")&amp;IF($R22="Yes","Scope creep; ","")&amp;IF($S22="No","Compliance unclear; ","")&amp;IF($T22="No","Manufacturing handover unclear; ",""),LEN(IF($D22="No","Scope undefined; ","")&amp;IF($E22="No","Brief unclear; ","")&amp;IF($F22="No","Contract not signed; ","")&amp;IF($G22="No","Deposit unpaid; ","")&amp;IF($I22="No","Ownership not agreed; ","")&amp;IF($J22="No","Deadline unrealistic; ","")&amp;IF($K22="No","Slow client response; ","")&amp;IF($L22="Yes","Brief keeps changing; ","")&amp;IF($M22="Yes","Extra work requested; ","")&amp;IF($N22="Yes","Exceeding expected hours; ","")&amp;IF($O22="Yes","Expenses over budget; ","")&amp;IF($P22="Yes","Margin too low; ","")&amp;IF($Q22="Yes","Payment overdue; ","")&amp;IF($R22="Yes","Scope creep; ","")&amp;IF($S22="No","Compliance unclear; ","")&amp;IF($T22="No","Manufacturing handover unclear; ",""))-2)))</f>
        <v/>
      </c>
      <c r="W22" s="39" t="str">
        <f aca="false">IF($A22="","",IFERROR(INDEX('Fragrance Projects'!$B$5:$B$64,MATCH($A22,'Fragrance Projects'!$A$5:$A$64,0)),""))</f>
        <v/>
      </c>
      <c r="X22" s="39" t="str">
        <f aca="false">IF($A22="","",IFERROR(INDEX('Project Financials'!$U$5:$U$64,MATCH($A22,'Project Financials'!$A$5:$A$64,0)),""))</f>
        <v/>
      </c>
      <c r="Y22" s="39" t="str">
        <f aca="false">IF($A22="","",IFERROR(INDEX('Project Financials'!$D$5:$D$64,MATCH($A22,'Project Financials'!$A$5:$A$64,0)),""))</f>
        <v/>
      </c>
      <c r="Z22" s="39" t="str">
        <f aca="false">IF($A22="","",IFERROR(INDEX('Project Financials'!$AC$5:$AC$64,MATCH($A22,'Project Financials'!$A$5:$A$64,0)),""))</f>
        <v/>
      </c>
      <c r="AA22" s="39" t="str">
        <f aca="false">IF($A22="","",IFERROR(INDEX(Payments!$N$5:$N$64,MATCH($A22,Payments!$B$5:$B$64,0)),""))</f>
        <v/>
      </c>
    </row>
    <row r="23" customFormat="false" ht="21.75" hidden="false" customHeight="true" outlineLevel="0" collapsed="false">
      <c r="A23" s="30"/>
      <c r="B23" s="20" t="str">
        <f aca="false">IF($A23="","",IFERROR(INDEX('Fragrance Projects'!$C$5:$C$64,MATCH($A23,'Fragrance Projects'!$A$5:$A$64,0)),""))</f>
        <v/>
      </c>
      <c r="C23" s="20" t="str">
        <f aca="false">IF($A23="","",IFERROR(INDEX('Fragrance Projects'!$D$5:$D$64,MATCH($A23,'Fragrance Projects'!$A$5:$A$64,0)),""))</f>
        <v/>
      </c>
      <c r="D23" s="30"/>
      <c r="E23" s="30"/>
      <c r="F23" s="20" t="str">
        <f aca="false">IF($A23="","",IFERROR(INDEX(Clients!$R$5:$R$44,MATCH($W23,Clients!$A$5:$A$44,0)),""))</f>
        <v/>
      </c>
      <c r="G23" s="20" t="str">
        <f aca="false">IF($A23="","",IF(IFERROR(INDEX(Payments!$G$5:$G$64,MATCH($A23,Payments!$B$5:$B$64,0)),0)&gt;0,"Yes","No"))</f>
        <v/>
      </c>
      <c r="H23" s="20" t="str">
        <f aca="false">IF($A23="","",IFERROR(INDEX('Fragrance Projects'!$L$5:$L$64,MATCH($A23,'Fragrance Projects'!$A$5:$A$64,0)),""))</f>
        <v/>
      </c>
      <c r="I23" s="20" t="str">
        <f aca="false">IF($A23="","",IF(AND(IFERROR(INDEX(Clients!$T$5:$T$44,MATCH($W23,Clients!$A$5:$A$44,0)),"")&lt;&gt;"",IFERROR(INDEX(Clients!$T$5:$T$44,MATCH($W23,Clients!$A$5:$A$44,0)),"")&lt;&gt;"Not Yet Agreed"),"Yes","No"))</f>
        <v/>
      </c>
      <c r="J23" s="30"/>
      <c r="K23" s="30"/>
      <c r="L23" s="30"/>
      <c r="M23" s="30"/>
      <c r="N23" s="30"/>
      <c r="O23" s="20" t="str">
        <f aca="false">IF($A23="","",IF(AND($Y23&lt;&gt;"",$Y23&gt;0,$X23&gt;0.4*$Y23),"Yes","No"))</f>
        <v/>
      </c>
      <c r="P23" s="20" t="str">
        <f aca="false">IF($A23="","",IF(AND($Z23&lt;&gt;"",$Z23&lt;0.15),"Yes","No"))</f>
        <v/>
      </c>
      <c r="Q23" s="20" t="str">
        <f aca="false">IF($A23="","",IF($AA23="Overdue","Yes","No"))</f>
        <v/>
      </c>
      <c r="R23" s="30"/>
      <c r="S23" s="30"/>
      <c r="T23" s="30"/>
      <c r="U23" s="20" t="str">
        <f aca="false">IF($A23="","",_xlfn.IFS((IF($D23="No",1,0)+IF($E23="No",1,0)+IF($F23="No",1,0)+IF($G23="No",1,0)+IF($I23="No",1,0)+IF($J23="No",1,0)+IF($K23="No",1,0)+IF($L23="Yes",1,0)+IF($M23="Yes",1,0)+IF($N23="Yes",1,0)+IF($O23="Yes",1,0)+IF($P23="Yes",1,0)+IF($Q23="Yes",1,0)+IF($R23="Yes",1,0)+IF($S23="No",1,0)+IF($T23="No",1,0))&lt;=2,"LOW",(IF($D23="No",1,0)+IF($E23="No",1,0)+IF($F23="No",1,0)+IF($G23="No",1,0)+IF($I23="No",1,0)+IF($J23="No",1,0)+IF($K23="No",1,0)+IF($L23="Yes",1,0)+IF($M23="Yes",1,0)+IF($N23="Yes",1,0)+IF($O23="Yes",1,0)+IF($P23="Yes",1,0)+IF($Q23="Yes",1,0)+IF($R23="Yes",1,0)+IF($S23="No",1,0)+IF($T23="No",1,0))&lt;=5,"MEDIUM",TRUE(),"HIGH"))</f>
        <v/>
      </c>
      <c r="V23" s="19" t="str">
        <f aca="false">IF($A23="","",IF(LEN(IF($D23="No","Scope undefined; ","")&amp;IF($E23="No","Brief unclear; ","")&amp;IF($F23="No","Contract not signed; ","")&amp;IF($G23="No","Deposit unpaid; ","")&amp;IF($I23="No","Ownership not agreed; ","")&amp;IF($J23="No","Deadline unrealistic; ","")&amp;IF($K23="No","Slow client response; ","")&amp;IF($L23="Yes","Brief keeps changing; ","")&amp;IF($M23="Yes","Extra work requested; ","")&amp;IF($N23="Yes","Exceeding expected hours; ","")&amp;IF($O23="Yes","Expenses over budget; ","")&amp;IF($P23="Yes","Margin too low; ","")&amp;IF($Q23="Yes","Payment overdue; ","")&amp;IF($R23="Yes","Scope creep; ","")&amp;IF($S23="No","Compliance unclear; ","")&amp;IF($T23="No","Manufacturing handover unclear; ",""))=0,"None — healthy",LEFT(IF($D23="No","Scope undefined; ","")&amp;IF($E23="No","Brief unclear; ","")&amp;IF($F23="No","Contract not signed; ","")&amp;IF($G23="No","Deposit unpaid; ","")&amp;IF($I23="No","Ownership not agreed; ","")&amp;IF($J23="No","Deadline unrealistic; ","")&amp;IF($K23="No","Slow client response; ","")&amp;IF($L23="Yes","Brief keeps changing; ","")&amp;IF($M23="Yes","Extra work requested; ","")&amp;IF($N23="Yes","Exceeding expected hours; ","")&amp;IF($O23="Yes","Expenses over budget; ","")&amp;IF($P23="Yes","Margin too low; ","")&amp;IF($Q23="Yes","Payment overdue; ","")&amp;IF($R23="Yes","Scope creep; ","")&amp;IF($S23="No","Compliance unclear; ","")&amp;IF($T23="No","Manufacturing handover unclear; ",""),LEN(IF($D23="No","Scope undefined; ","")&amp;IF($E23="No","Brief unclear; ","")&amp;IF($F23="No","Contract not signed; ","")&amp;IF($G23="No","Deposit unpaid; ","")&amp;IF($I23="No","Ownership not agreed; ","")&amp;IF($J23="No","Deadline unrealistic; ","")&amp;IF($K23="No","Slow client response; ","")&amp;IF($L23="Yes","Brief keeps changing; ","")&amp;IF($M23="Yes","Extra work requested; ","")&amp;IF($N23="Yes","Exceeding expected hours; ","")&amp;IF($O23="Yes","Expenses over budget; ","")&amp;IF($P23="Yes","Margin too low; ","")&amp;IF($Q23="Yes","Payment overdue; ","")&amp;IF($R23="Yes","Scope creep; ","")&amp;IF($S23="No","Compliance unclear; ","")&amp;IF($T23="No","Manufacturing handover unclear; ",""))-2)))</f>
        <v/>
      </c>
      <c r="W23" s="39" t="str">
        <f aca="false">IF($A23="","",IFERROR(INDEX('Fragrance Projects'!$B$5:$B$64,MATCH($A23,'Fragrance Projects'!$A$5:$A$64,0)),""))</f>
        <v/>
      </c>
      <c r="X23" s="39" t="str">
        <f aca="false">IF($A23="","",IFERROR(INDEX('Project Financials'!$U$5:$U$64,MATCH($A23,'Project Financials'!$A$5:$A$64,0)),""))</f>
        <v/>
      </c>
      <c r="Y23" s="39" t="str">
        <f aca="false">IF($A23="","",IFERROR(INDEX('Project Financials'!$D$5:$D$64,MATCH($A23,'Project Financials'!$A$5:$A$64,0)),""))</f>
        <v/>
      </c>
      <c r="Z23" s="39" t="str">
        <f aca="false">IF($A23="","",IFERROR(INDEX('Project Financials'!$AC$5:$AC$64,MATCH($A23,'Project Financials'!$A$5:$A$64,0)),""))</f>
        <v/>
      </c>
      <c r="AA23" s="39" t="str">
        <f aca="false">IF($A23="","",IFERROR(INDEX(Payments!$N$5:$N$64,MATCH($A23,Payments!$B$5:$B$64,0)),""))</f>
        <v/>
      </c>
    </row>
    <row r="24" customFormat="false" ht="21.75" hidden="false" customHeight="true" outlineLevel="0" collapsed="false">
      <c r="A24" s="30"/>
      <c r="B24" s="20" t="str">
        <f aca="false">IF($A24="","",IFERROR(INDEX('Fragrance Projects'!$C$5:$C$64,MATCH($A24,'Fragrance Projects'!$A$5:$A$64,0)),""))</f>
        <v/>
      </c>
      <c r="C24" s="20" t="str">
        <f aca="false">IF($A24="","",IFERROR(INDEX('Fragrance Projects'!$D$5:$D$64,MATCH($A24,'Fragrance Projects'!$A$5:$A$64,0)),""))</f>
        <v/>
      </c>
      <c r="D24" s="30"/>
      <c r="E24" s="30"/>
      <c r="F24" s="20" t="str">
        <f aca="false">IF($A24="","",IFERROR(INDEX(Clients!$R$5:$R$44,MATCH($W24,Clients!$A$5:$A$44,0)),""))</f>
        <v/>
      </c>
      <c r="G24" s="20" t="str">
        <f aca="false">IF($A24="","",IF(IFERROR(INDEX(Payments!$G$5:$G$64,MATCH($A24,Payments!$B$5:$B$64,0)),0)&gt;0,"Yes","No"))</f>
        <v/>
      </c>
      <c r="H24" s="20" t="str">
        <f aca="false">IF($A24="","",IFERROR(INDEX('Fragrance Projects'!$L$5:$L$64,MATCH($A24,'Fragrance Projects'!$A$5:$A$64,0)),""))</f>
        <v/>
      </c>
      <c r="I24" s="20" t="str">
        <f aca="false">IF($A24="","",IF(AND(IFERROR(INDEX(Clients!$T$5:$T$44,MATCH($W24,Clients!$A$5:$A$44,0)),"")&lt;&gt;"",IFERROR(INDEX(Clients!$T$5:$T$44,MATCH($W24,Clients!$A$5:$A$44,0)),"")&lt;&gt;"Not Yet Agreed"),"Yes","No"))</f>
        <v/>
      </c>
      <c r="J24" s="30"/>
      <c r="K24" s="30"/>
      <c r="L24" s="30"/>
      <c r="M24" s="30"/>
      <c r="N24" s="30"/>
      <c r="O24" s="20" t="str">
        <f aca="false">IF($A24="","",IF(AND($Y24&lt;&gt;"",$Y24&gt;0,$X24&gt;0.4*$Y24),"Yes","No"))</f>
        <v/>
      </c>
      <c r="P24" s="20" t="str">
        <f aca="false">IF($A24="","",IF(AND($Z24&lt;&gt;"",$Z24&lt;0.15),"Yes","No"))</f>
        <v/>
      </c>
      <c r="Q24" s="20" t="str">
        <f aca="false">IF($A24="","",IF($AA24="Overdue","Yes","No"))</f>
        <v/>
      </c>
      <c r="R24" s="30"/>
      <c r="S24" s="30"/>
      <c r="T24" s="30"/>
      <c r="U24" s="20" t="str">
        <f aca="false">IF($A24="","",_xlfn.IFS((IF($D24="No",1,0)+IF($E24="No",1,0)+IF($F24="No",1,0)+IF($G24="No",1,0)+IF($I24="No",1,0)+IF($J24="No",1,0)+IF($K24="No",1,0)+IF($L24="Yes",1,0)+IF($M24="Yes",1,0)+IF($N24="Yes",1,0)+IF($O24="Yes",1,0)+IF($P24="Yes",1,0)+IF($Q24="Yes",1,0)+IF($R24="Yes",1,0)+IF($S24="No",1,0)+IF($T24="No",1,0))&lt;=2,"LOW",(IF($D24="No",1,0)+IF($E24="No",1,0)+IF($F24="No",1,0)+IF($G24="No",1,0)+IF($I24="No",1,0)+IF($J24="No",1,0)+IF($K24="No",1,0)+IF($L24="Yes",1,0)+IF($M24="Yes",1,0)+IF($N24="Yes",1,0)+IF($O24="Yes",1,0)+IF($P24="Yes",1,0)+IF($Q24="Yes",1,0)+IF($R24="Yes",1,0)+IF($S24="No",1,0)+IF($T24="No",1,0))&lt;=5,"MEDIUM",TRUE(),"HIGH"))</f>
        <v/>
      </c>
      <c r="V24" s="19" t="str">
        <f aca="false">IF($A24="","",IF(LEN(IF($D24="No","Scope undefined; ","")&amp;IF($E24="No","Brief unclear; ","")&amp;IF($F24="No","Contract not signed; ","")&amp;IF($G24="No","Deposit unpaid; ","")&amp;IF($I24="No","Ownership not agreed; ","")&amp;IF($J24="No","Deadline unrealistic; ","")&amp;IF($K24="No","Slow client response; ","")&amp;IF($L24="Yes","Brief keeps changing; ","")&amp;IF($M24="Yes","Extra work requested; ","")&amp;IF($N24="Yes","Exceeding expected hours; ","")&amp;IF($O24="Yes","Expenses over budget; ","")&amp;IF($P24="Yes","Margin too low; ","")&amp;IF($Q24="Yes","Payment overdue; ","")&amp;IF($R24="Yes","Scope creep; ","")&amp;IF($S24="No","Compliance unclear; ","")&amp;IF($T24="No","Manufacturing handover unclear; ",""))=0,"None — healthy",LEFT(IF($D24="No","Scope undefined; ","")&amp;IF($E24="No","Brief unclear; ","")&amp;IF($F24="No","Contract not signed; ","")&amp;IF($G24="No","Deposit unpaid; ","")&amp;IF($I24="No","Ownership not agreed; ","")&amp;IF($J24="No","Deadline unrealistic; ","")&amp;IF($K24="No","Slow client response; ","")&amp;IF($L24="Yes","Brief keeps changing; ","")&amp;IF($M24="Yes","Extra work requested; ","")&amp;IF($N24="Yes","Exceeding expected hours; ","")&amp;IF($O24="Yes","Expenses over budget; ","")&amp;IF($P24="Yes","Margin too low; ","")&amp;IF($Q24="Yes","Payment overdue; ","")&amp;IF($R24="Yes","Scope creep; ","")&amp;IF($S24="No","Compliance unclear; ","")&amp;IF($T24="No","Manufacturing handover unclear; ",""),LEN(IF($D24="No","Scope undefined; ","")&amp;IF($E24="No","Brief unclear; ","")&amp;IF($F24="No","Contract not signed; ","")&amp;IF($G24="No","Deposit unpaid; ","")&amp;IF($I24="No","Ownership not agreed; ","")&amp;IF($J24="No","Deadline unrealistic; ","")&amp;IF($K24="No","Slow client response; ","")&amp;IF($L24="Yes","Brief keeps changing; ","")&amp;IF($M24="Yes","Extra work requested; ","")&amp;IF($N24="Yes","Exceeding expected hours; ","")&amp;IF($O24="Yes","Expenses over budget; ","")&amp;IF($P24="Yes","Margin too low; ","")&amp;IF($Q24="Yes","Payment overdue; ","")&amp;IF($R24="Yes","Scope creep; ","")&amp;IF($S24="No","Compliance unclear; ","")&amp;IF($T24="No","Manufacturing handover unclear; ",""))-2)))</f>
        <v/>
      </c>
      <c r="W24" s="39" t="str">
        <f aca="false">IF($A24="","",IFERROR(INDEX('Fragrance Projects'!$B$5:$B$64,MATCH($A24,'Fragrance Projects'!$A$5:$A$64,0)),""))</f>
        <v/>
      </c>
      <c r="X24" s="39" t="str">
        <f aca="false">IF($A24="","",IFERROR(INDEX('Project Financials'!$U$5:$U$64,MATCH($A24,'Project Financials'!$A$5:$A$64,0)),""))</f>
        <v/>
      </c>
      <c r="Y24" s="39" t="str">
        <f aca="false">IF($A24="","",IFERROR(INDEX('Project Financials'!$D$5:$D$64,MATCH($A24,'Project Financials'!$A$5:$A$64,0)),""))</f>
        <v/>
      </c>
      <c r="Z24" s="39" t="str">
        <f aca="false">IF($A24="","",IFERROR(INDEX('Project Financials'!$AC$5:$AC$64,MATCH($A24,'Project Financials'!$A$5:$A$64,0)),""))</f>
        <v/>
      </c>
      <c r="AA24" s="39" t="str">
        <f aca="false">IF($A24="","",IFERROR(INDEX(Payments!$N$5:$N$64,MATCH($A24,Payments!$B$5:$B$64,0)),""))</f>
        <v/>
      </c>
    </row>
    <row r="25" customFormat="false" ht="21.75" hidden="false" customHeight="true" outlineLevel="0" collapsed="false">
      <c r="A25" s="30"/>
      <c r="B25" s="20" t="str">
        <f aca="false">IF($A25="","",IFERROR(INDEX('Fragrance Projects'!$C$5:$C$64,MATCH($A25,'Fragrance Projects'!$A$5:$A$64,0)),""))</f>
        <v/>
      </c>
      <c r="C25" s="20" t="str">
        <f aca="false">IF($A25="","",IFERROR(INDEX('Fragrance Projects'!$D$5:$D$64,MATCH($A25,'Fragrance Projects'!$A$5:$A$64,0)),""))</f>
        <v/>
      </c>
      <c r="D25" s="30"/>
      <c r="E25" s="30"/>
      <c r="F25" s="20" t="str">
        <f aca="false">IF($A25="","",IFERROR(INDEX(Clients!$R$5:$R$44,MATCH($W25,Clients!$A$5:$A$44,0)),""))</f>
        <v/>
      </c>
      <c r="G25" s="20" t="str">
        <f aca="false">IF($A25="","",IF(IFERROR(INDEX(Payments!$G$5:$G$64,MATCH($A25,Payments!$B$5:$B$64,0)),0)&gt;0,"Yes","No"))</f>
        <v/>
      </c>
      <c r="H25" s="20" t="str">
        <f aca="false">IF($A25="","",IFERROR(INDEX('Fragrance Projects'!$L$5:$L$64,MATCH($A25,'Fragrance Projects'!$A$5:$A$64,0)),""))</f>
        <v/>
      </c>
      <c r="I25" s="20" t="str">
        <f aca="false">IF($A25="","",IF(AND(IFERROR(INDEX(Clients!$T$5:$T$44,MATCH($W25,Clients!$A$5:$A$44,0)),"")&lt;&gt;"",IFERROR(INDEX(Clients!$T$5:$T$44,MATCH($W25,Clients!$A$5:$A$44,0)),"")&lt;&gt;"Not Yet Agreed"),"Yes","No"))</f>
        <v/>
      </c>
      <c r="J25" s="30"/>
      <c r="K25" s="30"/>
      <c r="L25" s="30"/>
      <c r="M25" s="30"/>
      <c r="N25" s="30"/>
      <c r="O25" s="20" t="str">
        <f aca="false">IF($A25="","",IF(AND($Y25&lt;&gt;"",$Y25&gt;0,$X25&gt;0.4*$Y25),"Yes","No"))</f>
        <v/>
      </c>
      <c r="P25" s="20" t="str">
        <f aca="false">IF($A25="","",IF(AND($Z25&lt;&gt;"",$Z25&lt;0.15),"Yes","No"))</f>
        <v/>
      </c>
      <c r="Q25" s="20" t="str">
        <f aca="false">IF($A25="","",IF($AA25="Overdue","Yes","No"))</f>
        <v/>
      </c>
      <c r="R25" s="30"/>
      <c r="S25" s="30"/>
      <c r="T25" s="30"/>
      <c r="U25" s="20" t="str">
        <f aca="false">IF($A25="","",_xlfn.IFS((IF($D25="No",1,0)+IF($E25="No",1,0)+IF($F25="No",1,0)+IF($G25="No",1,0)+IF($I25="No",1,0)+IF($J25="No",1,0)+IF($K25="No",1,0)+IF($L25="Yes",1,0)+IF($M25="Yes",1,0)+IF($N25="Yes",1,0)+IF($O25="Yes",1,0)+IF($P25="Yes",1,0)+IF($Q25="Yes",1,0)+IF($R25="Yes",1,0)+IF($S25="No",1,0)+IF($T25="No",1,0))&lt;=2,"LOW",(IF($D25="No",1,0)+IF($E25="No",1,0)+IF($F25="No",1,0)+IF($G25="No",1,0)+IF($I25="No",1,0)+IF($J25="No",1,0)+IF($K25="No",1,0)+IF($L25="Yes",1,0)+IF($M25="Yes",1,0)+IF($N25="Yes",1,0)+IF($O25="Yes",1,0)+IF($P25="Yes",1,0)+IF($Q25="Yes",1,0)+IF($R25="Yes",1,0)+IF($S25="No",1,0)+IF($T25="No",1,0))&lt;=5,"MEDIUM",TRUE(),"HIGH"))</f>
        <v/>
      </c>
      <c r="V25" s="19" t="str">
        <f aca="false">IF($A25="","",IF(LEN(IF($D25="No","Scope undefined; ","")&amp;IF($E25="No","Brief unclear; ","")&amp;IF($F25="No","Contract not signed; ","")&amp;IF($G25="No","Deposit unpaid; ","")&amp;IF($I25="No","Ownership not agreed; ","")&amp;IF($J25="No","Deadline unrealistic; ","")&amp;IF($K25="No","Slow client response; ","")&amp;IF($L25="Yes","Brief keeps changing; ","")&amp;IF($M25="Yes","Extra work requested; ","")&amp;IF($N25="Yes","Exceeding expected hours; ","")&amp;IF($O25="Yes","Expenses over budget; ","")&amp;IF($P25="Yes","Margin too low; ","")&amp;IF($Q25="Yes","Payment overdue; ","")&amp;IF($R25="Yes","Scope creep; ","")&amp;IF($S25="No","Compliance unclear; ","")&amp;IF($T25="No","Manufacturing handover unclear; ",""))=0,"None — healthy",LEFT(IF($D25="No","Scope undefined; ","")&amp;IF($E25="No","Brief unclear; ","")&amp;IF($F25="No","Contract not signed; ","")&amp;IF($G25="No","Deposit unpaid; ","")&amp;IF($I25="No","Ownership not agreed; ","")&amp;IF($J25="No","Deadline unrealistic; ","")&amp;IF($K25="No","Slow client response; ","")&amp;IF($L25="Yes","Brief keeps changing; ","")&amp;IF($M25="Yes","Extra work requested; ","")&amp;IF($N25="Yes","Exceeding expected hours; ","")&amp;IF($O25="Yes","Expenses over budget; ","")&amp;IF($P25="Yes","Margin too low; ","")&amp;IF($Q25="Yes","Payment overdue; ","")&amp;IF($R25="Yes","Scope creep; ","")&amp;IF($S25="No","Compliance unclear; ","")&amp;IF($T25="No","Manufacturing handover unclear; ",""),LEN(IF($D25="No","Scope undefined; ","")&amp;IF($E25="No","Brief unclear; ","")&amp;IF($F25="No","Contract not signed; ","")&amp;IF($G25="No","Deposit unpaid; ","")&amp;IF($I25="No","Ownership not agreed; ","")&amp;IF($J25="No","Deadline unrealistic; ","")&amp;IF($K25="No","Slow client response; ","")&amp;IF($L25="Yes","Brief keeps changing; ","")&amp;IF($M25="Yes","Extra work requested; ","")&amp;IF($N25="Yes","Exceeding expected hours; ","")&amp;IF($O25="Yes","Expenses over budget; ","")&amp;IF($P25="Yes","Margin too low; ","")&amp;IF($Q25="Yes","Payment overdue; ","")&amp;IF($R25="Yes","Scope creep; ","")&amp;IF($S25="No","Compliance unclear; ","")&amp;IF($T25="No","Manufacturing handover unclear; ",""))-2)))</f>
        <v/>
      </c>
      <c r="W25" s="39" t="str">
        <f aca="false">IF($A25="","",IFERROR(INDEX('Fragrance Projects'!$B$5:$B$64,MATCH($A25,'Fragrance Projects'!$A$5:$A$64,0)),""))</f>
        <v/>
      </c>
      <c r="X25" s="39" t="str">
        <f aca="false">IF($A25="","",IFERROR(INDEX('Project Financials'!$U$5:$U$64,MATCH($A25,'Project Financials'!$A$5:$A$64,0)),""))</f>
        <v/>
      </c>
      <c r="Y25" s="39" t="str">
        <f aca="false">IF($A25="","",IFERROR(INDEX('Project Financials'!$D$5:$D$64,MATCH($A25,'Project Financials'!$A$5:$A$64,0)),""))</f>
        <v/>
      </c>
      <c r="Z25" s="39" t="str">
        <f aca="false">IF($A25="","",IFERROR(INDEX('Project Financials'!$AC$5:$AC$64,MATCH($A25,'Project Financials'!$A$5:$A$64,0)),""))</f>
        <v/>
      </c>
      <c r="AA25" s="39" t="str">
        <f aca="false">IF($A25="","",IFERROR(INDEX(Payments!$N$5:$N$64,MATCH($A25,Payments!$B$5:$B$64,0)),""))</f>
        <v/>
      </c>
    </row>
    <row r="26" customFormat="false" ht="21.75" hidden="false" customHeight="true" outlineLevel="0" collapsed="false">
      <c r="A26" s="30"/>
      <c r="B26" s="20" t="str">
        <f aca="false">IF($A26="","",IFERROR(INDEX('Fragrance Projects'!$C$5:$C$64,MATCH($A26,'Fragrance Projects'!$A$5:$A$64,0)),""))</f>
        <v/>
      </c>
      <c r="C26" s="20" t="str">
        <f aca="false">IF($A26="","",IFERROR(INDEX('Fragrance Projects'!$D$5:$D$64,MATCH($A26,'Fragrance Projects'!$A$5:$A$64,0)),""))</f>
        <v/>
      </c>
      <c r="D26" s="30"/>
      <c r="E26" s="30"/>
      <c r="F26" s="20" t="str">
        <f aca="false">IF($A26="","",IFERROR(INDEX(Clients!$R$5:$R$44,MATCH($W26,Clients!$A$5:$A$44,0)),""))</f>
        <v/>
      </c>
      <c r="G26" s="20" t="str">
        <f aca="false">IF($A26="","",IF(IFERROR(INDEX(Payments!$G$5:$G$64,MATCH($A26,Payments!$B$5:$B$64,0)),0)&gt;0,"Yes","No"))</f>
        <v/>
      </c>
      <c r="H26" s="20" t="str">
        <f aca="false">IF($A26="","",IFERROR(INDEX('Fragrance Projects'!$L$5:$L$64,MATCH($A26,'Fragrance Projects'!$A$5:$A$64,0)),""))</f>
        <v/>
      </c>
      <c r="I26" s="20" t="str">
        <f aca="false">IF($A26="","",IF(AND(IFERROR(INDEX(Clients!$T$5:$T$44,MATCH($W26,Clients!$A$5:$A$44,0)),"")&lt;&gt;"",IFERROR(INDEX(Clients!$T$5:$T$44,MATCH($W26,Clients!$A$5:$A$44,0)),"")&lt;&gt;"Not Yet Agreed"),"Yes","No"))</f>
        <v/>
      </c>
      <c r="J26" s="30"/>
      <c r="K26" s="30"/>
      <c r="L26" s="30"/>
      <c r="M26" s="30"/>
      <c r="N26" s="30"/>
      <c r="O26" s="20" t="str">
        <f aca="false">IF($A26="","",IF(AND($Y26&lt;&gt;"",$Y26&gt;0,$X26&gt;0.4*$Y26),"Yes","No"))</f>
        <v/>
      </c>
      <c r="P26" s="20" t="str">
        <f aca="false">IF($A26="","",IF(AND($Z26&lt;&gt;"",$Z26&lt;0.15),"Yes","No"))</f>
        <v/>
      </c>
      <c r="Q26" s="20" t="str">
        <f aca="false">IF($A26="","",IF($AA26="Overdue","Yes","No"))</f>
        <v/>
      </c>
      <c r="R26" s="30"/>
      <c r="S26" s="30"/>
      <c r="T26" s="30"/>
      <c r="U26" s="20" t="str">
        <f aca="false">IF($A26="","",_xlfn.IFS((IF($D26="No",1,0)+IF($E26="No",1,0)+IF($F26="No",1,0)+IF($G26="No",1,0)+IF($I26="No",1,0)+IF($J26="No",1,0)+IF($K26="No",1,0)+IF($L26="Yes",1,0)+IF($M26="Yes",1,0)+IF($N26="Yes",1,0)+IF($O26="Yes",1,0)+IF($P26="Yes",1,0)+IF($Q26="Yes",1,0)+IF($R26="Yes",1,0)+IF($S26="No",1,0)+IF($T26="No",1,0))&lt;=2,"LOW",(IF($D26="No",1,0)+IF($E26="No",1,0)+IF($F26="No",1,0)+IF($G26="No",1,0)+IF($I26="No",1,0)+IF($J26="No",1,0)+IF($K26="No",1,0)+IF($L26="Yes",1,0)+IF($M26="Yes",1,0)+IF($N26="Yes",1,0)+IF($O26="Yes",1,0)+IF($P26="Yes",1,0)+IF($Q26="Yes",1,0)+IF($R26="Yes",1,0)+IF($S26="No",1,0)+IF($T26="No",1,0))&lt;=5,"MEDIUM",TRUE(),"HIGH"))</f>
        <v/>
      </c>
      <c r="V26" s="19" t="str">
        <f aca="false">IF($A26="","",IF(LEN(IF($D26="No","Scope undefined; ","")&amp;IF($E26="No","Brief unclear; ","")&amp;IF($F26="No","Contract not signed; ","")&amp;IF($G26="No","Deposit unpaid; ","")&amp;IF($I26="No","Ownership not agreed; ","")&amp;IF($J26="No","Deadline unrealistic; ","")&amp;IF($K26="No","Slow client response; ","")&amp;IF($L26="Yes","Brief keeps changing; ","")&amp;IF($M26="Yes","Extra work requested; ","")&amp;IF($N26="Yes","Exceeding expected hours; ","")&amp;IF($O26="Yes","Expenses over budget; ","")&amp;IF($P26="Yes","Margin too low; ","")&amp;IF($Q26="Yes","Payment overdue; ","")&amp;IF($R26="Yes","Scope creep; ","")&amp;IF($S26="No","Compliance unclear; ","")&amp;IF($T26="No","Manufacturing handover unclear; ",""))=0,"None — healthy",LEFT(IF($D26="No","Scope undefined; ","")&amp;IF($E26="No","Brief unclear; ","")&amp;IF($F26="No","Contract not signed; ","")&amp;IF($G26="No","Deposit unpaid; ","")&amp;IF($I26="No","Ownership not agreed; ","")&amp;IF($J26="No","Deadline unrealistic; ","")&amp;IF($K26="No","Slow client response; ","")&amp;IF($L26="Yes","Brief keeps changing; ","")&amp;IF($M26="Yes","Extra work requested; ","")&amp;IF($N26="Yes","Exceeding expected hours; ","")&amp;IF($O26="Yes","Expenses over budget; ","")&amp;IF($P26="Yes","Margin too low; ","")&amp;IF($Q26="Yes","Payment overdue; ","")&amp;IF($R26="Yes","Scope creep; ","")&amp;IF($S26="No","Compliance unclear; ","")&amp;IF($T26="No","Manufacturing handover unclear; ",""),LEN(IF($D26="No","Scope undefined; ","")&amp;IF($E26="No","Brief unclear; ","")&amp;IF($F26="No","Contract not signed; ","")&amp;IF($G26="No","Deposit unpaid; ","")&amp;IF($I26="No","Ownership not agreed; ","")&amp;IF($J26="No","Deadline unrealistic; ","")&amp;IF($K26="No","Slow client response; ","")&amp;IF($L26="Yes","Brief keeps changing; ","")&amp;IF($M26="Yes","Extra work requested; ","")&amp;IF($N26="Yes","Exceeding expected hours; ","")&amp;IF($O26="Yes","Expenses over budget; ","")&amp;IF($P26="Yes","Margin too low; ","")&amp;IF($Q26="Yes","Payment overdue; ","")&amp;IF($R26="Yes","Scope creep; ","")&amp;IF($S26="No","Compliance unclear; ","")&amp;IF($T26="No","Manufacturing handover unclear; ",""))-2)))</f>
        <v/>
      </c>
      <c r="W26" s="39" t="str">
        <f aca="false">IF($A26="","",IFERROR(INDEX('Fragrance Projects'!$B$5:$B$64,MATCH($A26,'Fragrance Projects'!$A$5:$A$64,0)),""))</f>
        <v/>
      </c>
      <c r="X26" s="39" t="str">
        <f aca="false">IF($A26="","",IFERROR(INDEX('Project Financials'!$U$5:$U$64,MATCH($A26,'Project Financials'!$A$5:$A$64,0)),""))</f>
        <v/>
      </c>
      <c r="Y26" s="39" t="str">
        <f aca="false">IF($A26="","",IFERROR(INDEX('Project Financials'!$D$5:$D$64,MATCH($A26,'Project Financials'!$A$5:$A$64,0)),""))</f>
        <v/>
      </c>
      <c r="Z26" s="39" t="str">
        <f aca="false">IF($A26="","",IFERROR(INDEX('Project Financials'!$AC$5:$AC$64,MATCH($A26,'Project Financials'!$A$5:$A$64,0)),""))</f>
        <v/>
      </c>
      <c r="AA26" s="39" t="str">
        <f aca="false">IF($A26="","",IFERROR(INDEX(Payments!$N$5:$N$64,MATCH($A26,Payments!$B$5:$B$64,0)),""))</f>
        <v/>
      </c>
    </row>
    <row r="27" customFormat="false" ht="21.75" hidden="false" customHeight="true" outlineLevel="0" collapsed="false">
      <c r="A27" s="30"/>
      <c r="B27" s="20" t="str">
        <f aca="false">IF($A27="","",IFERROR(INDEX('Fragrance Projects'!$C$5:$C$64,MATCH($A27,'Fragrance Projects'!$A$5:$A$64,0)),""))</f>
        <v/>
      </c>
      <c r="C27" s="20" t="str">
        <f aca="false">IF($A27="","",IFERROR(INDEX('Fragrance Projects'!$D$5:$D$64,MATCH($A27,'Fragrance Projects'!$A$5:$A$64,0)),""))</f>
        <v/>
      </c>
      <c r="D27" s="30"/>
      <c r="E27" s="30"/>
      <c r="F27" s="20" t="str">
        <f aca="false">IF($A27="","",IFERROR(INDEX(Clients!$R$5:$R$44,MATCH($W27,Clients!$A$5:$A$44,0)),""))</f>
        <v/>
      </c>
      <c r="G27" s="20" t="str">
        <f aca="false">IF($A27="","",IF(IFERROR(INDEX(Payments!$G$5:$G$64,MATCH($A27,Payments!$B$5:$B$64,0)),0)&gt;0,"Yes","No"))</f>
        <v/>
      </c>
      <c r="H27" s="20" t="str">
        <f aca="false">IF($A27="","",IFERROR(INDEX('Fragrance Projects'!$L$5:$L$64,MATCH($A27,'Fragrance Projects'!$A$5:$A$64,0)),""))</f>
        <v/>
      </c>
      <c r="I27" s="20" t="str">
        <f aca="false">IF($A27="","",IF(AND(IFERROR(INDEX(Clients!$T$5:$T$44,MATCH($W27,Clients!$A$5:$A$44,0)),"")&lt;&gt;"",IFERROR(INDEX(Clients!$T$5:$T$44,MATCH($W27,Clients!$A$5:$A$44,0)),"")&lt;&gt;"Not Yet Agreed"),"Yes","No"))</f>
        <v/>
      </c>
      <c r="J27" s="30"/>
      <c r="K27" s="30"/>
      <c r="L27" s="30"/>
      <c r="M27" s="30"/>
      <c r="N27" s="30"/>
      <c r="O27" s="20" t="str">
        <f aca="false">IF($A27="","",IF(AND($Y27&lt;&gt;"",$Y27&gt;0,$X27&gt;0.4*$Y27),"Yes","No"))</f>
        <v/>
      </c>
      <c r="P27" s="20" t="str">
        <f aca="false">IF($A27="","",IF(AND($Z27&lt;&gt;"",$Z27&lt;0.15),"Yes","No"))</f>
        <v/>
      </c>
      <c r="Q27" s="20" t="str">
        <f aca="false">IF($A27="","",IF($AA27="Overdue","Yes","No"))</f>
        <v/>
      </c>
      <c r="R27" s="30"/>
      <c r="S27" s="30"/>
      <c r="T27" s="30"/>
      <c r="U27" s="20" t="str">
        <f aca="false">IF($A27="","",_xlfn.IFS((IF($D27="No",1,0)+IF($E27="No",1,0)+IF($F27="No",1,0)+IF($G27="No",1,0)+IF($I27="No",1,0)+IF($J27="No",1,0)+IF($K27="No",1,0)+IF($L27="Yes",1,0)+IF($M27="Yes",1,0)+IF($N27="Yes",1,0)+IF($O27="Yes",1,0)+IF($P27="Yes",1,0)+IF($Q27="Yes",1,0)+IF($R27="Yes",1,0)+IF($S27="No",1,0)+IF($T27="No",1,0))&lt;=2,"LOW",(IF($D27="No",1,0)+IF($E27="No",1,0)+IF($F27="No",1,0)+IF($G27="No",1,0)+IF($I27="No",1,0)+IF($J27="No",1,0)+IF($K27="No",1,0)+IF($L27="Yes",1,0)+IF($M27="Yes",1,0)+IF($N27="Yes",1,0)+IF($O27="Yes",1,0)+IF($P27="Yes",1,0)+IF($Q27="Yes",1,0)+IF($R27="Yes",1,0)+IF($S27="No",1,0)+IF($T27="No",1,0))&lt;=5,"MEDIUM",TRUE(),"HIGH"))</f>
        <v/>
      </c>
      <c r="V27" s="19" t="str">
        <f aca="false">IF($A27="","",IF(LEN(IF($D27="No","Scope undefined; ","")&amp;IF($E27="No","Brief unclear; ","")&amp;IF($F27="No","Contract not signed; ","")&amp;IF($G27="No","Deposit unpaid; ","")&amp;IF($I27="No","Ownership not agreed; ","")&amp;IF($J27="No","Deadline unrealistic; ","")&amp;IF($K27="No","Slow client response; ","")&amp;IF($L27="Yes","Brief keeps changing; ","")&amp;IF($M27="Yes","Extra work requested; ","")&amp;IF($N27="Yes","Exceeding expected hours; ","")&amp;IF($O27="Yes","Expenses over budget; ","")&amp;IF($P27="Yes","Margin too low; ","")&amp;IF($Q27="Yes","Payment overdue; ","")&amp;IF($R27="Yes","Scope creep; ","")&amp;IF($S27="No","Compliance unclear; ","")&amp;IF($T27="No","Manufacturing handover unclear; ",""))=0,"None — healthy",LEFT(IF($D27="No","Scope undefined; ","")&amp;IF($E27="No","Brief unclear; ","")&amp;IF($F27="No","Contract not signed; ","")&amp;IF($G27="No","Deposit unpaid; ","")&amp;IF($I27="No","Ownership not agreed; ","")&amp;IF($J27="No","Deadline unrealistic; ","")&amp;IF($K27="No","Slow client response; ","")&amp;IF($L27="Yes","Brief keeps changing; ","")&amp;IF($M27="Yes","Extra work requested; ","")&amp;IF($N27="Yes","Exceeding expected hours; ","")&amp;IF($O27="Yes","Expenses over budget; ","")&amp;IF($P27="Yes","Margin too low; ","")&amp;IF($Q27="Yes","Payment overdue; ","")&amp;IF($R27="Yes","Scope creep; ","")&amp;IF($S27="No","Compliance unclear; ","")&amp;IF($T27="No","Manufacturing handover unclear; ",""),LEN(IF($D27="No","Scope undefined; ","")&amp;IF($E27="No","Brief unclear; ","")&amp;IF($F27="No","Contract not signed; ","")&amp;IF($G27="No","Deposit unpaid; ","")&amp;IF($I27="No","Ownership not agreed; ","")&amp;IF($J27="No","Deadline unrealistic; ","")&amp;IF($K27="No","Slow client response; ","")&amp;IF($L27="Yes","Brief keeps changing; ","")&amp;IF($M27="Yes","Extra work requested; ","")&amp;IF($N27="Yes","Exceeding expected hours; ","")&amp;IF($O27="Yes","Expenses over budget; ","")&amp;IF($P27="Yes","Margin too low; ","")&amp;IF($Q27="Yes","Payment overdue; ","")&amp;IF($R27="Yes","Scope creep; ","")&amp;IF($S27="No","Compliance unclear; ","")&amp;IF($T27="No","Manufacturing handover unclear; ",""))-2)))</f>
        <v/>
      </c>
      <c r="W27" s="39" t="str">
        <f aca="false">IF($A27="","",IFERROR(INDEX('Fragrance Projects'!$B$5:$B$64,MATCH($A27,'Fragrance Projects'!$A$5:$A$64,0)),""))</f>
        <v/>
      </c>
      <c r="X27" s="39" t="str">
        <f aca="false">IF($A27="","",IFERROR(INDEX('Project Financials'!$U$5:$U$64,MATCH($A27,'Project Financials'!$A$5:$A$64,0)),""))</f>
        <v/>
      </c>
      <c r="Y27" s="39" t="str">
        <f aca="false">IF($A27="","",IFERROR(INDEX('Project Financials'!$D$5:$D$64,MATCH($A27,'Project Financials'!$A$5:$A$64,0)),""))</f>
        <v/>
      </c>
      <c r="Z27" s="39" t="str">
        <f aca="false">IF($A27="","",IFERROR(INDEX('Project Financials'!$AC$5:$AC$64,MATCH($A27,'Project Financials'!$A$5:$A$64,0)),""))</f>
        <v/>
      </c>
      <c r="AA27" s="39" t="str">
        <f aca="false">IF($A27="","",IFERROR(INDEX(Payments!$N$5:$N$64,MATCH($A27,Payments!$B$5:$B$64,0)),""))</f>
        <v/>
      </c>
    </row>
    <row r="28" customFormat="false" ht="21.75" hidden="false" customHeight="true" outlineLevel="0" collapsed="false">
      <c r="A28" s="30"/>
      <c r="B28" s="20" t="str">
        <f aca="false">IF($A28="","",IFERROR(INDEX('Fragrance Projects'!$C$5:$C$64,MATCH($A28,'Fragrance Projects'!$A$5:$A$64,0)),""))</f>
        <v/>
      </c>
      <c r="C28" s="20" t="str">
        <f aca="false">IF($A28="","",IFERROR(INDEX('Fragrance Projects'!$D$5:$D$64,MATCH($A28,'Fragrance Projects'!$A$5:$A$64,0)),""))</f>
        <v/>
      </c>
      <c r="D28" s="30"/>
      <c r="E28" s="30"/>
      <c r="F28" s="20" t="str">
        <f aca="false">IF($A28="","",IFERROR(INDEX(Clients!$R$5:$R$44,MATCH($W28,Clients!$A$5:$A$44,0)),""))</f>
        <v/>
      </c>
      <c r="G28" s="20" t="str">
        <f aca="false">IF($A28="","",IF(IFERROR(INDEX(Payments!$G$5:$G$64,MATCH($A28,Payments!$B$5:$B$64,0)),0)&gt;0,"Yes","No"))</f>
        <v/>
      </c>
      <c r="H28" s="20" t="str">
        <f aca="false">IF($A28="","",IFERROR(INDEX('Fragrance Projects'!$L$5:$L$64,MATCH($A28,'Fragrance Projects'!$A$5:$A$64,0)),""))</f>
        <v/>
      </c>
      <c r="I28" s="20" t="str">
        <f aca="false">IF($A28="","",IF(AND(IFERROR(INDEX(Clients!$T$5:$T$44,MATCH($W28,Clients!$A$5:$A$44,0)),"")&lt;&gt;"",IFERROR(INDEX(Clients!$T$5:$T$44,MATCH($W28,Clients!$A$5:$A$44,0)),"")&lt;&gt;"Not Yet Agreed"),"Yes","No"))</f>
        <v/>
      </c>
      <c r="J28" s="30"/>
      <c r="K28" s="30"/>
      <c r="L28" s="30"/>
      <c r="M28" s="30"/>
      <c r="N28" s="30"/>
      <c r="O28" s="20" t="str">
        <f aca="false">IF($A28="","",IF(AND($Y28&lt;&gt;"",$Y28&gt;0,$X28&gt;0.4*$Y28),"Yes","No"))</f>
        <v/>
      </c>
      <c r="P28" s="20" t="str">
        <f aca="false">IF($A28="","",IF(AND($Z28&lt;&gt;"",$Z28&lt;0.15),"Yes","No"))</f>
        <v/>
      </c>
      <c r="Q28" s="20" t="str">
        <f aca="false">IF($A28="","",IF($AA28="Overdue","Yes","No"))</f>
        <v/>
      </c>
      <c r="R28" s="30"/>
      <c r="S28" s="30"/>
      <c r="T28" s="30"/>
      <c r="U28" s="20" t="str">
        <f aca="false">IF($A28="","",_xlfn.IFS((IF($D28="No",1,0)+IF($E28="No",1,0)+IF($F28="No",1,0)+IF($G28="No",1,0)+IF($I28="No",1,0)+IF($J28="No",1,0)+IF($K28="No",1,0)+IF($L28="Yes",1,0)+IF($M28="Yes",1,0)+IF($N28="Yes",1,0)+IF($O28="Yes",1,0)+IF($P28="Yes",1,0)+IF($Q28="Yes",1,0)+IF($R28="Yes",1,0)+IF($S28="No",1,0)+IF($T28="No",1,0))&lt;=2,"LOW",(IF($D28="No",1,0)+IF($E28="No",1,0)+IF($F28="No",1,0)+IF($G28="No",1,0)+IF($I28="No",1,0)+IF($J28="No",1,0)+IF($K28="No",1,0)+IF($L28="Yes",1,0)+IF($M28="Yes",1,0)+IF($N28="Yes",1,0)+IF($O28="Yes",1,0)+IF($P28="Yes",1,0)+IF($Q28="Yes",1,0)+IF($R28="Yes",1,0)+IF($S28="No",1,0)+IF($T28="No",1,0))&lt;=5,"MEDIUM",TRUE(),"HIGH"))</f>
        <v/>
      </c>
      <c r="V28" s="19" t="str">
        <f aca="false">IF($A28="","",IF(LEN(IF($D28="No","Scope undefined; ","")&amp;IF($E28="No","Brief unclear; ","")&amp;IF($F28="No","Contract not signed; ","")&amp;IF($G28="No","Deposit unpaid; ","")&amp;IF($I28="No","Ownership not agreed; ","")&amp;IF($J28="No","Deadline unrealistic; ","")&amp;IF($K28="No","Slow client response; ","")&amp;IF($L28="Yes","Brief keeps changing; ","")&amp;IF($M28="Yes","Extra work requested; ","")&amp;IF($N28="Yes","Exceeding expected hours; ","")&amp;IF($O28="Yes","Expenses over budget; ","")&amp;IF($P28="Yes","Margin too low; ","")&amp;IF($Q28="Yes","Payment overdue; ","")&amp;IF($R28="Yes","Scope creep; ","")&amp;IF($S28="No","Compliance unclear; ","")&amp;IF($T28="No","Manufacturing handover unclear; ",""))=0,"None — healthy",LEFT(IF($D28="No","Scope undefined; ","")&amp;IF($E28="No","Brief unclear; ","")&amp;IF($F28="No","Contract not signed; ","")&amp;IF($G28="No","Deposit unpaid; ","")&amp;IF($I28="No","Ownership not agreed; ","")&amp;IF($J28="No","Deadline unrealistic; ","")&amp;IF($K28="No","Slow client response; ","")&amp;IF($L28="Yes","Brief keeps changing; ","")&amp;IF($M28="Yes","Extra work requested; ","")&amp;IF($N28="Yes","Exceeding expected hours; ","")&amp;IF($O28="Yes","Expenses over budget; ","")&amp;IF($P28="Yes","Margin too low; ","")&amp;IF($Q28="Yes","Payment overdue; ","")&amp;IF($R28="Yes","Scope creep; ","")&amp;IF($S28="No","Compliance unclear; ","")&amp;IF($T28="No","Manufacturing handover unclear; ",""),LEN(IF($D28="No","Scope undefined; ","")&amp;IF($E28="No","Brief unclear; ","")&amp;IF($F28="No","Contract not signed; ","")&amp;IF($G28="No","Deposit unpaid; ","")&amp;IF($I28="No","Ownership not agreed; ","")&amp;IF($J28="No","Deadline unrealistic; ","")&amp;IF($K28="No","Slow client response; ","")&amp;IF($L28="Yes","Brief keeps changing; ","")&amp;IF($M28="Yes","Extra work requested; ","")&amp;IF($N28="Yes","Exceeding expected hours; ","")&amp;IF($O28="Yes","Expenses over budget; ","")&amp;IF($P28="Yes","Margin too low; ","")&amp;IF($Q28="Yes","Payment overdue; ","")&amp;IF($R28="Yes","Scope creep; ","")&amp;IF($S28="No","Compliance unclear; ","")&amp;IF($T28="No","Manufacturing handover unclear; ",""))-2)))</f>
        <v/>
      </c>
      <c r="W28" s="39" t="str">
        <f aca="false">IF($A28="","",IFERROR(INDEX('Fragrance Projects'!$B$5:$B$64,MATCH($A28,'Fragrance Projects'!$A$5:$A$64,0)),""))</f>
        <v/>
      </c>
      <c r="X28" s="39" t="str">
        <f aca="false">IF($A28="","",IFERROR(INDEX('Project Financials'!$U$5:$U$64,MATCH($A28,'Project Financials'!$A$5:$A$64,0)),""))</f>
        <v/>
      </c>
      <c r="Y28" s="39" t="str">
        <f aca="false">IF($A28="","",IFERROR(INDEX('Project Financials'!$D$5:$D$64,MATCH($A28,'Project Financials'!$A$5:$A$64,0)),""))</f>
        <v/>
      </c>
      <c r="Z28" s="39" t="str">
        <f aca="false">IF($A28="","",IFERROR(INDEX('Project Financials'!$AC$5:$AC$64,MATCH($A28,'Project Financials'!$A$5:$A$64,0)),""))</f>
        <v/>
      </c>
      <c r="AA28" s="39" t="str">
        <f aca="false">IF($A28="","",IFERROR(INDEX(Payments!$N$5:$N$64,MATCH($A28,Payments!$B$5:$B$64,0)),""))</f>
        <v/>
      </c>
    </row>
    <row r="29" customFormat="false" ht="21.75" hidden="false" customHeight="true" outlineLevel="0" collapsed="false">
      <c r="A29" s="30"/>
      <c r="B29" s="20" t="str">
        <f aca="false">IF($A29="","",IFERROR(INDEX('Fragrance Projects'!$C$5:$C$64,MATCH($A29,'Fragrance Projects'!$A$5:$A$64,0)),""))</f>
        <v/>
      </c>
      <c r="C29" s="20" t="str">
        <f aca="false">IF($A29="","",IFERROR(INDEX('Fragrance Projects'!$D$5:$D$64,MATCH($A29,'Fragrance Projects'!$A$5:$A$64,0)),""))</f>
        <v/>
      </c>
      <c r="D29" s="30"/>
      <c r="E29" s="30"/>
      <c r="F29" s="20" t="str">
        <f aca="false">IF($A29="","",IFERROR(INDEX(Clients!$R$5:$R$44,MATCH($W29,Clients!$A$5:$A$44,0)),""))</f>
        <v/>
      </c>
      <c r="G29" s="20" t="str">
        <f aca="false">IF($A29="","",IF(IFERROR(INDEX(Payments!$G$5:$G$64,MATCH($A29,Payments!$B$5:$B$64,0)),0)&gt;0,"Yes","No"))</f>
        <v/>
      </c>
      <c r="H29" s="20" t="str">
        <f aca="false">IF($A29="","",IFERROR(INDEX('Fragrance Projects'!$L$5:$L$64,MATCH($A29,'Fragrance Projects'!$A$5:$A$64,0)),""))</f>
        <v/>
      </c>
      <c r="I29" s="20" t="str">
        <f aca="false">IF($A29="","",IF(AND(IFERROR(INDEX(Clients!$T$5:$T$44,MATCH($W29,Clients!$A$5:$A$44,0)),"")&lt;&gt;"",IFERROR(INDEX(Clients!$T$5:$T$44,MATCH($W29,Clients!$A$5:$A$44,0)),"")&lt;&gt;"Not Yet Agreed"),"Yes","No"))</f>
        <v/>
      </c>
      <c r="J29" s="30"/>
      <c r="K29" s="30"/>
      <c r="L29" s="30"/>
      <c r="M29" s="30"/>
      <c r="N29" s="30"/>
      <c r="O29" s="20" t="str">
        <f aca="false">IF($A29="","",IF(AND($Y29&lt;&gt;"",$Y29&gt;0,$X29&gt;0.4*$Y29),"Yes","No"))</f>
        <v/>
      </c>
      <c r="P29" s="20" t="str">
        <f aca="false">IF($A29="","",IF(AND($Z29&lt;&gt;"",$Z29&lt;0.15),"Yes","No"))</f>
        <v/>
      </c>
      <c r="Q29" s="20" t="str">
        <f aca="false">IF($A29="","",IF($AA29="Overdue","Yes","No"))</f>
        <v/>
      </c>
      <c r="R29" s="30"/>
      <c r="S29" s="30"/>
      <c r="T29" s="30"/>
      <c r="U29" s="20" t="str">
        <f aca="false">IF($A29="","",_xlfn.IFS((IF($D29="No",1,0)+IF($E29="No",1,0)+IF($F29="No",1,0)+IF($G29="No",1,0)+IF($I29="No",1,0)+IF($J29="No",1,0)+IF($K29="No",1,0)+IF($L29="Yes",1,0)+IF($M29="Yes",1,0)+IF($N29="Yes",1,0)+IF($O29="Yes",1,0)+IF($P29="Yes",1,0)+IF($Q29="Yes",1,0)+IF($R29="Yes",1,0)+IF($S29="No",1,0)+IF($T29="No",1,0))&lt;=2,"LOW",(IF($D29="No",1,0)+IF($E29="No",1,0)+IF($F29="No",1,0)+IF($G29="No",1,0)+IF($I29="No",1,0)+IF($J29="No",1,0)+IF($K29="No",1,0)+IF($L29="Yes",1,0)+IF($M29="Yes",1,0)+IF($N29="Yes",1,0)+IF($O29="Yes",1,0)+IF($P29="Yes",1,0)+IF($Q29="Yes",1,0)+IF($R29="Yes",1,0)+IF($S29="No",1,0)+IF($T29="No",1,0))&lt;=5,"MEDIUM",TRUE(),"HIGH"))</f>
        <v/>
      </c>
      <c r="V29" s="19" t="str">
        <f aca="false">IF($A29="","",IF(LEN(IF($D29="No","Scope undefined; ","")&amp;IF($E29="No","Brief unclear; ","")&amp;IF($F29="No","Contract not signed; ","")&amp;IF($G29="No","Deposit unpaid; ","")&amp;IF($I29="No","Ownership not agreed; ","")&amp;IF($J29="No","Deadline unrealistic; ","")&amp;IF($K29="No","Slow client response; ","")&amp;IF($L29="Yes","Brief keeps changing; ","")&amp;IF($M29="Yes","Extra work requested; ","")&amp;IF($N29="Yes","Exceeding expected hours; ","")&amp;IF($O29="Yes","Expenses over budget; ","")&amp;IF($P29="Yes","Margin too low; ","")&amp;IF($Q29="Yes","Payment overdue; ","")&amp;IF($R29="Yes","Scope creep; ","")&amp;IF($S29="No","Compliance unclear; ","")&amp;IF($T29="No","Manufacturing handover unclear; ",""))=0,"None — healthy",LEFT(IF($D29="No","Scope undefined; ","")&amp;IF($E29="No","Brief unclear; ","")&amp;IF($F29="No","Contract not signed; ","")&amp;IF($G29="No","Deposit unpaid; ","")&amp;IF($I29="No","Ownership not agreed; ","")&amp;IF($J29="No","Deadline unrealistic; ","")&amp;IF($K29="No","Slow client response; ","")&amp;IF($L29="Yes","Brief keeps changing; ","")&amp;IF($M29="Yes","Extra work requested; ","")&amp;IF($N29="Yes","Exceeding expected hours; ","")&amp;IF($O29="Yes","Expenses over budget; ","")&amp;IF($P29="Yes","Margin too low; ","")&amp;IF($Q29="Yes","Payment overdue; ","")&amp;IF($R29="Yes","Scope creep; ","")&amp;IF($S29="No","Compliance unclear; ","")&amp;IF($T29="No","Manufacturing handover unclear; ",""),LEN(IF($D29="No","Scope undefined; ","")&amp;IF($E29="No","Brief unclear; ","")&amp;IF($F29="No","Contract not signed; ","")&amp;IF($G29="No","Deposit unpaid; ","")&amp;IF($I29="No","Ownership not agreed; ","")&amp;IF($J29="No","Deadline unrealistic; ","")&amp;IF($K29="No","Slow client response; ","")&amp;IF($L29="Yes","Brief keeps changing; ","")&amp;IF($M29="Yes","Extra work requested; ","")&amp;IF($N29="Yes","Exceeding expected hours; ","")&amp;IF($O29="Yes","Expenses over budget; ","")&amp;IF($P29="Yes","Margin too low; ","")&amp;IF($Q29="Yes","Payment overdue; ","")&amp;IF($R29="Yes","Scope creep; ","")&amp;IF($S29="No","Compliance unclear; ","")&amp;IF($T29="No","Manufacturing handover unclear; ",""))-2)))</f>
        <v/>
      </c>
      <c r="W29" s="39" t="str">
        <f aca="false">IF($A29="","",IFERROR(INDEX('Fragrance Projects'!$B$5:$B$64,MATCH($A29,'Fragrance Projects'!$A$5:$A$64,0)),""))</f>
        <v/>
      </c>
      <c r="X29" s="39" t="str">
        <f aca="false">IF($A29="","",IFERROR(INDEX('Project Financials'!$U$5:$U$64,MATCH($A29,'Project Financials'!$A$5:$A$64,0)),""))</f>
        <v/>
      </c>
      <c r="Y29" s="39" t="str">
        <f aca="false">IF($A29="","",IFERROR(INDEX('Project Financials'!$D$5:$D$64,MATCH($A29,'Project Financials'!$A$5:$A$64,0)),""))</f>
        <v/>
      </c>
      <c r="Z29" s="39" t="str">
        <f aca="false">IF($A29="","",IFERROR(INDEX('Project Financials'!$AC$5:$AC$64,MATCH($A29,'Project Financials'!$A$5:$A$64,0)),""))</f>
        <v/>
      </c>
      <c r="AA29" s="39" t="str">
        <f aca="false">IF($A29="","",IFERROR(INDEX(Payments!$N$5:$N$64,MATCH($A29,Payments!$B$5:$B$64,0)),""))</f>
        <v/>
      </c>
    </row>
    <row r="30" customFormat="false" ht="21.75" hidden="false" customHeight="true" outlineLevel="0" collapsed="false">
      <c r="A30" s="30"/>
      <c r="B30" s="20" t="str">
        <f aca="false">IF($A30="","",IFERROR(INDEX('Fragrance Projects'!$C$5:$C$64,MATCH($A30,'Fragrance Projects'!$A$5:$A$64,0)),""))</f>
        <v/>
      </c>
      <c r="C30" s="20" t="str">
        <f aca="false">IF($A30="","",IFERROR(INDEX('Fragrance Projects'!$D$5:$D$64,MATCH($A30,'Fragrance Projects'!$A$5:$A$64,0)),""))</f>
        <v/>
      </c>
      <c r="D30" s="30"/>
      <c r="E30" s="30"/>
      <c r="F30" s="20" t="str">
        <f aca="false">IF($A30="","",IFERROR(INDEX(Clients!$R$5:$R$44,MATCH($W30,Clients!$A$5:$A$44,0)),""))</f>
        <v/>
      </c>
      <c r="G30" s="20" t="str">
        <f aca="false">IF($A30="","",IF(IFERROR(INDEX(Payments!$G$5:$G$64,MATCH($A30,Payments!$B$5:$B$64,0)),0)&gt;0,"Yes","No"))</f>
        <v/>
      </c>
      <c r="H30" s="20" t="str">
        <f aca="false">IF($A30="","",IFERROR(INDEX('Fragrance Projects'!$L$5:$L$64,MATCH($A30,'Fragrance Projects'!$A$5:$A$64,0)),""))</f>
        <v/>
      </c>
      <c r="I30" s="20" t="str">
        <f aca="false">IF($A30="","",IF(AND(IFERROR(INDEX(Clients!$T$5:$T$44,MATCH($W30,Clients!$A$5:$A$44,0)),"")&lt;&gt;"",IFERROR(INDEX(Clients!$T$5:$T$44,MATCH($W30,Clients!$A$5:$A$44,0)),"")&lt;&gt;"Not Yet Agreed"),"Yes","No"))</f>
        <v/>
      </c>
      <c r="J30" s="30"/>
      <c r="K30" s="30"/>
      <c r="L30" s="30"/>
      <c r="M30" s="30"/>
      <c r="N30" s="30"/>
      <c r="O30" s="20" t="str">
        <f aca="false">IF($A30="","",IF(AND($Y30&lt;&gt;"",$Y30&gt;0,$X30&gt;0.4*$Y30),"Yes","No"))</f>
        <v/>
      </c>
      <c r="P30" s="20" t="str">
        <f aca="false">IF($A30="","",IF(AND($Z30&lt;&gt;"",$Z30&lt;0.15),"Yes","No"))</f>
        <v/>
      </c>
      <c r="Q30" s="20" t="str">
        <f aca="false">IF($A30="","",IF($AA30="Overdue","Yes","No"))</f>
        <v/>
      </c>
      <c r="R30" s="30"/>
      <c r="S30" s="30"/>
      <c r="T30" s="30"/>
      <c r="U30" s="20" t="str">
        <f aca="false">IF($A30="","",_xlfn.IFS((IF($D30="No",1,0)+IF($E30="No",1,0)+IF($F30="No",1,0)+IF($G30="No",1,0)+IF($I30="No",1,0)+IF($J30="No",1,0)+IF($K30="No",1,0)+IF($L30="Yes",1,0)+IF($M30="Yes",1,0)+IF($N30="Yes",1,0)+IF($O30="Yes",1,0)+IF($P30="Yes",1,0)+IF($Q30="Yes",1,0)+IF($R30="Yes",1,0)+IF($S30="No",1,0)+IF($T30="No",1,0))&lt;=2,"LOW",(IF($D30="No",1,0)+IF($E30="No",1,0)+IF($F30="No",1,0)+IF($G30="No",1,0)+IF($I30="No",1,0)+IF($J30="No",1,0)+IF($K30="No",1,0)+IF($L30="Yes",1,0)+IF($M30="Yes",1,0)+IF($N30="Yes",1,0)+IF($O30="Yes",1,0)+IF($P30="Yes",1,0)+IF($Q30="Yes",1,0)+IF($R30="Yes",1,0)+IF($S30="No",1,0)+IF($T30="No",1,0))&lt;=5,"MEDIUM",TRUE(),"HIGH"))</f>
        <v/>
      </c>
      <c r="V30" s="19" t="str">
        <f aca="false">IF($A30="","",IF(LEN(IF($D30="No","Scope undefined; ","")&amp;IF($E30="No","Brief unclear; ","")&amp;IF($F30="No","Contract not signed; ","")&amp;IF($G30="No","Deposit unpaid; ","")&amp;IF($I30="No","Ownership not agreed; ","")&amp;IF($J30="No","Deadline unrealistic; ","")&amp;IF($K30="No","Slow client response; ","")&amp;IF($L30="Yes","Brief keeps changing; ","")&amp;IF($M30="Yes","Extra work requested; ","")&amp;IF($N30="Yes","Exceeding expected hours; ","")&amp;IF($O30="Yes","Expenses over budget; ","")&amp;IF($P30="Yes","Margin too low; ","")&amp;IF($Q30="Yes","Payment overdue; ","")&amp;IF($R30="Yes","Scope creep; ","")&amp;IF($S30="No","Compliance unclear; ","")&amp;IF($T30="No","Manufacturing handover unclear; ",""))=0,"None — healthy",LEFT(IF($D30="No","Scope undefined; ","")&amp;IF($E30="No","Brief unclear; ","")&amp;IF($F30="No","Contract not signed; ","")&amp;IF($G30="No","Deposit unpaid; ","")&amp;IF($I30="No","Ownership not agreed; ","")&amp;IF($J30="No","Deadline unrealistic; ","")&amp;IF($K30="No","Slow client response; ","")&amp;IF($L30="Yes","Brief keeps changing; ","")&amp;IF($M30="Yes","Extra work requested; ","")&amp;IF($N30="Yes","Exceeding expected hours; ","")&amp;IF($O30="Yes","Expenses over budget; ","")&amp;IF($P30="Yes","Margin too low; ","")&amp;IF($Q30="Yes","Payment overdue; ","")&amp;IF($R30="Yes","Scope creep; ","")&amp;IF($S30="No","Compliance unclear; ","")&amp;IF($T30="No","Manufacturing handover unclear; ",""),LEN(IF($D30="No","Scope undefined; ","")&amp;IF($E30="No","Brief unclear; ","")&amp;IF($F30="No","Contract not signed; ","")&amp;IF($G30="No","Deposit unpaid; ","")&amp;IF($I30="No","Ownership not agreed; ","")&amp;IF($J30="No","Deadline unrealistic; ","")&amp;IF($K30="No","Slow client response; ","")&amp;IF($L30="Yes","Brief keeps changing; ","")&amp;IF($M30="Yes","Extra work requested; ","")&amp;IF($N30="Yes","Exceeding expected hours; ","")&amp;IF($O30="Yes","Expenses over budget; ","")&amp;IF($P30="Yes","Margin too low; ","")&amp;IF($Q30="Yes","Payment overdue; ","")&amp;IF($R30="Yes","Scope creep; ","")&amp;IF($S30="No","Compliance unclear; ","")&amp;IF($T30="No","Manufacturing handover unclear; ",""))-2)))</f>
        <v/>
      </c>
      <c r="W30" s="39" t="str">
        <f aca="false">IF($A30="","",IFERROR(INDEX('Fragrance Projects'!$B$5:$B$64,MATCH($A30,'Fragrance Projects'!$A$5:$A$64,0)),""))</f>
        <v/>
      </c>
      <c r="X30" s="39" t="str">
        <f aca="false">IF($A30="","",IFERROR(INDEX('Project Financials'!$U$5:$U$64,MATCH($A30,'Project Financials'!$A$5:$A$64,0)),""))</f>
        <v/>
      </c>
      <c r="Y30" s="39" t="str">
        <f aca="false">IF($A30="","",IFERROR(INDEX('Project Financials'!$D$5:$D$64,MATCH($A30,'Project Financials'!$A$5:$A$64,0)),""))</f>
        <v/>
      </c>
      <c r="Z30" s="39" t="str">
        <f aca="false">IF($A30="","",IFERROR(INDEX('Project Financials'!$AC$5:$AC$64,MATCH($A30,'Project Financials'!$A$5:$A$64,0)),""))</f>
        <v/>
      </c>
      <c r="AA30" s="39" t="str">
        <f aca="false">IF($A30="","",IFERROR(INDEX(Payments!$N$5:$N$64,MATCH($A30,Payments!$B$5:$B$64,0)),""))</f>
        <v/>
      </c>
    </row>
    <row r="31" customFormat="false" ht="21.75" hidden="false" customHeight="true" outlineLevel="0" collapsed="false">
      <c r="A31" s="30"/>
      <c r="B31" s="20" t="str">
        <f aca="false">IF($A31="","",IFERROR(INDEX('Fragrance Projects'!$C$5:$C$64,MATCH($A31,'Fragrance Projects'!$A$5:$A$64,0)),""))</f>
        <v/>
      </c>
      <c r="C31" s="20" t="str">
        <f aca="false">IF($A31="","",IFERROR(INDEX('Fragrance Projects'!$D$5:$D$64,MATCH($A31,'Fragrance Projects'!$A$5:$A$64,0)),""))</f>
        <v/>
      </c>
      <c r="D31" s="30"/>
      <c r="E31" s="30"/>
      <c r="F31" s="20" t="str">
        <f aca="false">IF($A31="","",IFERROR(INDEX(Clients!$R$5:$R$44,MATCH($W31,Clients!$A$5:$A$44,0)),""))</f>
        <v/>
      </c>
      <c r="G31" s="20" t="str">
        <f aca="false">IF($A31="","",IF(IFERROR(INDEX(Payments!$G$5:$G$64,MATCH($A31,Payments!$B$5:$B$64,0)),0)&gt;0,"Yes","No"))</f>
        <v/>
      </c>
      <c r="H31" s="20" t="str">
        <f aca="false">IF($A31="","",IFERROR(INDEX('Fragrance Projects'!$L$5:$L$64,MATCH($A31,'Fragrance Projects'!$A$5:$A$64,0)),""))</f>
        <v/>
      </c>
      <c r="I31" s="20" t="str">
        <f aca="false">IF($A31="","",IF(AND(IFERROR(INDEX(Clients!$T$5:$T$44,MATCH($W31,Clients!$A$5:$A$44,0)),"")&lt;&gt;"",IFERROR(INDEX(Clients!$T$5:$T$44,MATCH($W31,Clients!$A$5:$A$44,0)),"")&lt;&gt;"Not Yet Agreed"),"Yes","No"))</f>
        <v/>
      </c>
      <c r="J31" s="30"/>
      <c r="K31" s="30"/>
      <c r="L31" s="30"/>
      <c r="M31" s="30"/>
      <c r="N31" s="30"/>
      <c r="O31" s="20" t="str">
        <f aca="false">IF($A31="","",IF(AND($Y31&lt;&gt;"",$Y31&gt;0,$X31&gt;0.4*$Y31),"Yes","No"))</f>
        <v/>
      </c>
      <c r="P31" s="20" t="str">
        <f aca="false">IF($A31="","",IF(AND($Z31&lt;&gt;"",$Z31&lt;0.15),"Yes","No"))</f>
        <v/>
      </c>
      <c r="Q31" s="20" t="str">
        <f aca="false">IF($A31="","",IF($AA31="Overdue","Yes","No"))</f>
        <v/>
      </c>
      <c r="R31" s="30"/>
      <c r="S31" s="30"/>
      <c r="T31" s="30"/>
      <c r="U31" s="20" t="str">
        <f aca="false">IF($A31="","",_xlfn.IFS((IF($D31="No",1,0)+IF($E31="No",1,0)+IF($F31="No",1,0)+IF($G31="No",1,0)+IF($I31="No",1,0)+IF($J31="No",1,0)+IF($K31="No",1,0)+IF($L31="Yes",1,0)+IF($M31="Yes",1,0)+IF($N31="Yes",1,0)+IF($O31="Yes",1,0)+IF($P31="Yes",1,0)+IF($Q31="Yes",1,0)+IF($R31="Yes",1,0)+IF($S31="No",1,0)+IF($T31="No",1,0))&lt;=2,"LOW",(IF($D31="No",1,0)+IF($E31="No",1,0)+IF($F31="No",1,0)+IF($G31="No",1,0)+IF($I31="No",1,0)+IF($J31="No",1,0)+IF($K31="No",1,0)+IF($L31="Yes",1,0)+IF($M31="Yes",1,0)+IF($N31="Yes",1,0)+IF($O31="Yes",1,0)+IF($P31="Yes",1,0)+IF($Q31="Yes",1,0)+IF($R31="Yes",1,0)+IF($S31="No",1,0)+IF($T31="No",1,0))&lt;=5,"MEDIUM",TRUE(),"HIGH"))</f>
        <v/>
      </c>
      <c r="V31" s="19" t="str">
        <f aca="false">IF($A31="","",IF(LEN(IF($D31="No","Scope undefined; ","")&amp;IF($E31="No","Brief unclear; ","")&amp;IF($F31="No","Contract not signed; ","")&amp;IF($G31="No","Deposit unpaid; ","")&amp;IF($I31="No","Ownership not agreed; ","")&amp;IF($J31="No","Deadline unrealistic; ","")&amp;IF($K31="No","Slow client response; ","")&amp;IF($L31="Yes","Brief keeps changing; ","")&amp;IF($M31="Yes","Extra work requested; ","")&amp;IF($N31="Yes","Exceeding expected hours; ","")&amp;IF($O31="Yes","Expenses over budget; ","")&amp;IF($P31="Yes","Margin too low; ","")&amp;IF($Q31="Yes","Payment overdue; ","")&amp;IF($R31="Yes","Scope creep; ","")&amp;IF($S31="No","Compliance unclear; ","")&amp;IF($T31="No","Manufacturing handover unclear; ",""))=0,"None — healthy",LEFT(IF($D31="No","Scope undefined; ","")&amp;IF($E31="No","Brief unclear; ","")&amp;IF($F31="No","Contract not signed; ","")&amp;IF($G31="No","Deposit unpaid; ","")&amp;IF($I31="No","Ownership not agreed; ","")&amp;IF($J31="No","Deadline unrealistic; ","")&amp;IF($K31="No","Slow client response; ","")&amp;IF($L31="Yes","Brief keeps changing; ","")&amp;IF($M31="Yes","Extra work requested; ","")&amp;IF($N31="Yes","Exceeding expected hours; ","")&amp;IF($O31="Yes","Expenses over budget; ","")&amp;IF($P31="Yes","Margin too low; ","")&amp;IF($Q31="Yes","Payment overdue; ","")&amp;IF($R31="Yes","Scope creep; ","")&amp;IF($S31="No","Compliance unclear; ","")&amp;IF($T31="No","Manufacturing handover unclear; ",""),LEN(IF($D31="No","Scope undefined; ","")&amp;IF($E31="No","Brief unclear; ","")&amp;IF($F31="No","Contract not signed; ","")&amp;IF($G31="No","Deposit unpaid; ","")&amp;IF($I31="No","Ownership not agreed; ","")&amp;IF($J31="No","Deadline unrealistic; ","")&amp;IF($K31="No","Slow client response; ","")&amp;IF($L31="Yes","Brief keeps changing; ","")&amp;IF($M31="Yes","Extra work requested; ","")&amp;IF($N31="Yes","Exceeding expected hours; ","")&amp;IF($O31="Yes","Expenses over budget; ","")&amp;IF($P31="Yes","Margin too low; ","")&amp;IF($Q31="Yes","Payment overdue; ","")&amp;IF($R31="Yes","Scope creep; ","")&amp;IF($S31="No","Compliance unclear; ","")&amp;IF($T31="No","Manufacturing handover unclear; ",""))-2)))</f>
        <v/>
      </c>
      <c r="W31" s="39" t="str">
        <f aca="false">IF($A31="","",IFERROR(INDEX('Fragrance Projects'!$B$5:$B$64,MATCH($A31,'Fragrance Projects'!$A$5:$A$64,0)),""))</f>
        <v/>
      </c>
      <c r="X31" s="39" t="str">
        <f aca="false">IF($A31="","",IFERROR(INDEX('Project Financials'!$U$5:$U$64,MATCH($A31,'Project Financials'!$A$5:$A$64,0)),""))</f>
        <v/>
      </c>
      <c r="Y31" s="39" t="str">
        <f aca="false">IF($A31="","",IFERROR(INDEX('Project Financials'!$D$5:$D$64,MATCH($A31,'Project Financials'!$A$5:$A$64,0)),""))</f>
        <v/>
      </c>
      <c r="Z31" s="39" t="str">
        <f aca="false">IF($A31="","",IFERROR(INDEX('Project Financials'!$AC$5:$AC$64,MATCH($A31,'Project Financials'!$A$5:$A$64,0)),""))</f>
        <v/>
      </c>
      <c r="AA31" s="39" t="str">
        <f aca="false">IF($A31="","",IFERROR(INDEX(Payments!$N$5:$N$64,MATCH($A31,Payments!$B$5:$B$64,0)),""))</f>
        <v/>
      </c>
    </row>
    <row r="32" customFormat="false" ht="21.75" hidden="false" customHeight="true" outlineLevel="0" collapsed="false">
      <c r="A32" s="30"/>
      <c r="B32" s="20" t="str">
        <f aca="false">IF($A32="","",IFERROR(INDEX('Fragrance Projects'!$C$5:$C$64,MATCH($A32,'Fragrance Projects'!$A$5:$A$64,0)),""))</f>
        <v/>
      </c>
      <c r="C32" s="20" t="str">
        <f aca="false">IF($A32="","",IFERROR(INDEX('Fragrance Projects'!$D$5:$D$64,MATCH($A32,'Fragrance Projects'!$A$5:$A$64,0)),""))</f>
        <v/>
      </c>
      <c r="D32" s="30"/>
      <c r="E32" s="30"/>
      <c r="F32" s="20" t="str">
        <f aca="false">IF($A32="","",IFERROR(INDEX(Clients!$R$5:$R$44,MATCH($W32,Clients!$A$5:$A$44,0)),""))</f>
        <v/>
      </c>
      <c r="G32" s="20" t="str">
        <f aca="false">IF($A32="","",IF(IFERROR(INDEX(Payments!$G$5:$G$64,MATCH($A32,Payments!$B$5:$B$64,0)),0)&gt;0,"Yes","No"))</f>
        <v/>
      </c>
      <c r="H32" s="20" t="str">
        <f aca="false">IF($A32="","",IFERROR(INDEX('Fragrance Projects'!$L$5:$L$64,MATCH($A32,'Fragrance Projects'!$A$5:$A$64,0)),""))</f>
        <v/>
      </c>
      <c r="I32" s="20" t="str">
        <f aca="false">IF($A32="","",IF(AND(IFERROR(INDEX(Clients!$T$5:$T$44,MATCH($W32,Clients!$A$5:$A$44,0)),"")&lt;&gt;"",IFERROR(INDEX(Clients!$T$5:$T$44,MATCH($W32,Clients!$A$5:$A$44,0)),"")&lt;&gt;"Not Yet Agreed"),"Yes","No"))</f>
        <v/>
      </c>
      <c r="J32" s="30"/>
      <c r="K32" s="30"/>
      <c r="L32" s="30"/>
      <c r="M32" s="30"/>
      <c r="N32" s="30"/>
      <c r="O32" s="20" t="str">
        <f aca="false">IF($A32="","",IF(AND($Y32&lt;&gt;"",$Y32&gt;0,$X32&gt;0.4*$Y32),"Yes","No"))</f>
        <v/>
      </c>
      <c r="P32" s="20" t="str">
        <f aca="false">IF($A32="","",IF(AND($Z32&lt;&gt;"",$Z32&lt;0.15),"Yes","No"))</f>
        <v/>
      </c>
      <c r="Q32" s="20" t="str">
        <f aca="false">IF($A32="","",IF($AA32="Overdue","Yes","No"))</f>
        <v/>
      </c>
      <c r="R32" s="30"/>
      <c r="S32" s="30"/>
      <c r="T32" s="30"/>
      <c r="U32" s="20" t="str">
        <f aca="false">IF($A32="","",_xlfn.IFS((IF($D32="No",1,0)+IF($E32="No",1,0)+IF($F32="No",1,0)+IF($G32="No",1,0)+IF($I32="No",1,0)+IF($J32="No",1,0)+IF($K32="No",1,0)+IF($L32="Yes",1,0)+IF($M32="Yes",1,0)+IF($N32="Yes",1,0)+IF($O32="Yes",1,0)+IF($P32="Yes",1,0)+IF($Q32="Yes",1,0)+IF($R32="Yes",1,0)+IF($S32="No",1,0)+IF($T32="No",1,0))&lt;=2,"LOW",(IF($D32="No",1,0)+IF($E32="No",1,0)+IF($F32="No",1,0)+IF($G32="No",1,0)+IF($I32="No",1,0)+IF($J32="No",1,0)+IF($K32="No",1,0)+IF($L32="Yes",1,0)+IF($M32="Yes",1,0)+IF($N32="Yes",1,0)+IF($O32="Yes",1,0)+IF($P32="Yes",1,0)+IF($Q32="Yes",1,0)+IF($R32="Yes",1,0)+IF($S32="No",1,0)+IF($T32="No",1,0))&lt;=5,"MEDIUM",TRUE(),"HIGH"))</f>
        <v/>
      </c>
      <c r="V32" s="19" t="str">
        <f aca="false">IF($A32="","",IF(LEN(IF($D32="No","Scope undefined; ","")&amp;IF($E32="No","Brief unclear; ","")&amp;IF($F32="No","Contract not signed; ","")&amp;IF($G32="No","Deposit unpaid; ","")&amp;IF($I32="No","Ownership not agreed; ","")&amp;IF($J32="No","Deadline unrealistic; ","")&amp;IF($K32="No","Slow client response; ","")&amp;IF($L32="Yes","Brief keeps changing; ","")&amp;IF($M32="Yes","Extra work requested; ","")&amp;IF($N32="Yes","Exceeding expected hours; ","")&amp;IF($O32="Yes","Expenses over budget; ","")&amp;IF($P32="Yes","Margin too low; ","")&amp;IF($Q32="Yes","Payment overdue; ","")&amp;IF($R32="Yes","Scope creep; ","")&amp;IF($S32="No","Compliance unclear; ","")&amp;IF($T32="No","Manufacturing handover unclear; ",""))=0,"None — healthy",LEFT(IF($D32="No","Scope undefined; ","")&amp;IF($E32="No","Brief unclear; ","")&amp;IF($F32="No","Contract not signed; ","")&amp;IF($G32="No","Deposit unpaid; ","")&amp;IF($I32="No","Ownership not agreed; ","")&amp;IF($J32="No","Deadline unrealistic; ","")&amp;IF($K32="No","Slow client response; ","")&amp;IF($L32="Yes","Brief keeps changing; ","")&amp;IF($M32="Yes","Extra work requested; ","")&amp;IF($N32="Yes","Exceeding expected hours; ","")&amp;IF($O32="Yes","Expenses over budget; ","")&amp;IF($P32="Yes","Margin too low; ","")&amp;IF($Q32="Yes","Payment overdue; ","")&amp;IF($R32="Yes","Scope creep; ","")&amp;IF($S32="No","Compliance unclear; ","")&amp;IF($T32="No","Manufacturing handover unclear; ",""),LEN(IF($D32="No","Scope undefined; ","")&amp;IF($E32="No","Brief unclear; ","")&amp;IF($F32="No","Contract not signed; ","")&amp;IF($G32="No","Deposit unpaid; ","")&amp;IF($I32="No","Ownership not agreed; ","")&amp;IF($J32="No","Deadline unrealistic; ","")&amp;IF($K32="No","Slow client response; ","")&amp;IF($L32="Yes","Brief keeps changing; ","")&amp;IF($M32="Yes","Extra work requested; ","")&amp;IF($N32="Yes","Exceeding expected hours; ","")&amp;IF($O32="Yes","Expenses over budget; ","")&amp;IF($P32="Yes","Margin too low; ","")&amp;IF($Q32="Yes","Payment overdue; ","")&amp;IF($R32="Yes","Scope creep; ","")&amp;IF($S32="No","Compliance unclear; ","")&amp;IF($T32="No","Manufacturing handover unclear; ",""))-2)))</f>
        <v/>
      </c>
      <c r="W32" s="39" t="str">
        <f aca="false">IF($A32="","",IFERROR(INDEX('Fragrance Projects'!$B$5:$B$64,MATCH($A32,'Fragrance Projects'!$A$5:$A$64,0)),""))</f>
        <v/>
      </c>
      <c r="X32" s="39" t="str">
        <f aca="false">IF($A32="","",IFERROR(INDEX('Project Financials'!$U$5:$U$64,MATCH($A32,'Project Financials'!$A$5:$A$64,0)),""))</f>
        <v/>
      </c>
      <c r="Y32" s="39" t="str">
        <f aca="false">IF($A32="","",IFERROR(INDEX('Project Financials'!$D$5:$D$64,MATCH($A32,'Project Financials'!$A$5:$A$64,0)),""))</f>
        <v/>
      </c>
      <c r="Z32" s="39" t="str">
        <f aca="false">IF($A32="","",IFERROR(INDEX('Project Financials'!$AC$5:$AC$64,MATCH($A32,'Project Financials'!$A$5:$A$64,0)),""))</f>
        <v/>
      </c>
      <c r="AA32" s="39" t="str">
        <f aca="false">IF($A32="","",IFERROR(INDEX(Payments!$N$5:$N$64,MATCH($A32,Payments!$B$5:$B$64,0)),""))</f>
        <v/>
      </c>
    </row>
    <row r="33" customFormat="false" ht="21.75" hidden="false" customHeight="true" outlineLevel="0" collapsed="false">
      <c r="A33" s="30"/>
      <c r="B33" s="20" t="str">
        <f aca="false">IF($A33="","",IFERROR(INDEX('Fragrance Projects'!$C$5:$C$64,MATCH($A33,'Fragrance Projects'!$A$5:$A$64,0)),""))</f>
        <v/>
      </c>
      <c r="C33" s="20" t="str">
        <f aca="false">IF($A33="","",IFERROR(INDEX('Fragrance Projects'!$D$5:$D$64,MATCH($A33,'Fragrance Projects'!$A$5:$A$64,0)),""))</f>
        <v/>
      </c>
      <c r="D33" s="30"/>
      <c r="E33" s="30"/>
      <c r="F33" s="20" t="str">
        <f aca="false">IF($A33="","",IFERROR(INDEX(Clients!$R$5:$R$44,MATCH($W33,Clients!$A$5:$A$44,0)),""))</f>
        <v/>
      </c>
      <c r="G33" s="20" t="str">
        <f aca="false">IF($A33="","",IF(IFERROR(INDEX(Payments!$G$5:$G$64,MATCH($A33,Payments!$B$5:$B$64,0)),0)&gt;0,"Yes","No"))</f>
        <v/>
      </c>
      <c r="H33" s="20" t="str">
        <f aca="false">IF($A33="","",IFERROR(INDEX('Fragrance Projects'!$L$5:$L$64,MATCH($A33,'Fragrance Projects'!$A$5:$A$64,0)),""))</f>
        <v/>
      </c>
      <c r="I33" s="20" t="str">
        <f aca="false">IF($A33="","",IF(AND(IFERROR(INDEX(Clients!$T$5:$T$44,MATCH($W33,Clients!$A$5:$A$44,0)),"")&lt;&gt;"",IFERROR(INDEX(Clients!$T$5:$T$44,MATCH($W33,Clients!$A$5:$A$44,0)),"")&lt;&gt;"Not Yet Agreed"),"Yes","No"))</f>
        <v/>
      </c>
      <c r="J33" s="30"/>
      <c r="K33" s="30"/>
      <c r="L33" s="30"/>
      <c r="M33" s="30"/>
      <c r="N33" s="30"/>
      <c r="O33" s="20" t="str">
        <f aca="false">IF($A33="","",IF(AND($Y33&lt;&gt;"",$Y33&gt;0,$X33&gt;0.4*$Y33),"Yes","No"))</f>
        <v/>
      </c>
      <c r="P33" s="20" t="str">
        <f aca="false">IF($A33="","",IF(AND($Z33&lt;&gt;"",$Z33&lt;0.15),"Yes","No"))</f>
        <v/>
      </c>
      <c r="Q33" s="20" t="str">
        <f aca="false">IF($A33="","",IF($AA33="Overdue","Yes","No"))</f>
        <v/>
      </c>
      <c r="R33" s="30"/>
      <c r="S33" s="30"/>
      <c r="T33" s="30"/>
      <c r="U33" s="20" t="str">
        <f aca="false">IF($A33="","",_xlfn.IFS((IF($D33="No",1,0)+IF($E33="No",1,0)+IF($F33="No",1,0)+IF($G33="No",1,0)+IF($I33="No",1,0)+IF($J33="No",1,0)+IF($K33="No",1,0)+IF($L33="Yes",1,0)+IF($M33="Yes",1,0)+IF($N33="Yes",1,0)+IF($O33="Yes",1,0)+IF($P33="Yes",1,0)+IF($Q33="Yes",1,0)+IF($R33="Yes",1,0)+IF($S33="No",1,0)+IF($T33="No",1,0))&lt;=2,"LOW",(IF($D33="No",1,0)+IF($E33="No",1,0)+IF($F33="No",1,0)+IF($G33="No",1,0)+IF($I33="No",1,0)+IF($J33="No",1,0)+IF($K33="No",1,0)+IF($L33="Yes",1,0)+IF($M33="Yes",1,0)+IF($N33="Yes",1,0)+IF($O33="Yes",1,0)+IF($P33="Yes",1,0)+IF($Q33="Yes",1,0)+IF($R33="Yes",1,0)+IF($S33="No",1,0)+IF($T33="No",1,0))&lt;=5,"MEDIUM",TRUE(),"HIGH"))</f>
        <v/>
      </c>
      <c r="V33" s="19" t="str">
        <f aca="false">IF($A33="","",IF(LEN(IF($D33="No","Scope undefined; ","")&amp;IF($E33="No","Brief unclear; ","")&amp;IF($F33="No","Contract not signed; ","")&amp;IF($G33="No","Deposit unpaid; ","")&amp;IF($I33="No","Ownership not agreed; ","")&amp;IF($J33="No","Deadline unrealistic; ","")&amp;IF($K33="No","Slow client response; ","")&amp;IF($L33="Yes","Brief keeps changing; ","")&amp;IF($M33="Yes","Extra work requested; ","")&amp;IF($N33="Yes","Exceeding expected hours; ","")&amp;IF($O33="Yes","Expenses over budget; ","")&amp;IF($P33="Yes","Margin too low; ","")&amp;IF($Q33="Yes","Payment overdue; ","")&amp;IF($R33="Yes","Scope creep; ","")&amp;IF($S33="No","Compliance unclear; ","")&amp;IF($T33="No","Manufacturing handover unclear; ",""))=0,"None — healthy",LEFT(IF($D33="No","Scope undefined; ","")&amp;IF($E33="No","Brief unclear; ","")&amp;IF($F33="No","Contract not signed; ","")&amp;IF($G33="No","Deposit unpaid; ","")&amp;IF($I33="No","Ownership not agreed; ","")&amp;IF($J33="No","Deadline unrealistic; ","")&amp;IF($K33="No","Slow client response; ","")&amp;IF($L33="Yes","Brief keeps changing; ","")&amp;IF($M33="Yes","Extra work requested; ","")&amp;IF($N33="Yes","Exceeding expected hours; ","")&amp;IF($O33="Yes","Expenses over budget; ","")&amp;IF($P33="Yes","Margin too low; ","")&amp;IF($Q33="Yes","Payment overdue; ","")&amp;IF($R33="Yes","Scope creep; ","")&amp;IF($S33="No","Compliance unclear; ","")&amp;IF($T33="No","Manufacturing handover unclear; ",""),LEN(IF($D33="No","Scope undefined; ","")&amp;IF($E33="No","Brief unclear; ","")&amp;IF($F33="No","Contract not signed; ","")&amp;IF($G33="No","Deposit unpaid; ","")&amp;IF($I33="No","Ownership not agreed; ","")&amp;IF($J33="No","Deadline unrealistic; ","")&amp;IF($K33="No","Slow client response; ","")&amp;IF($L33="Yes","Brief keeps changing; ","")&amp;IF($M33="Yes","Extra work requested; ","")&amp;IF($N33="Yes","Exceeding expected hours; ","")&amp;IF($O33="Yes","Expenses over budget; ","")&amp;IF($P33="Yes","Margin too low; ","")&amp;IF($Q33="Yes","Payment overdue; ","")&amp;IF($R33="Yes","Scope creep; ","")&amp;IF($S33="No","Compliance unclear; ","")&amp;IF($T33="No","Manufacturing handover unclear; ",""))-2)))</f>
        <v/>
      </c>
      <c r="W33" s="39" t="str">
        <f aca="false">IF($A33="","",IFERROR(INDEX('Fragrance Projects'!$B$5:$B$64,MATCH($A33,'Fragrance Projects'!$A$5:$A$64,0)),""))</f>
        <v/>
      </c>
      <c r="X33" s="39" t="str">
        <f aca="false">IF($A33="","",IFERROR(INDEX('Project Financials'!$U$5:$U$64,MATCH($A33,'Project Financials'!$A$5:$A$64,0)),""))</f>
        <v/>
      </c>
      <c r="Y33" s="39" t="str">
        <f aca="false">IF($A33="","",IFERROR(INDEX('Project Financials'!$D$5:$D$64,MATCH($A33,'Project Financials'!$A$5:$A$64,0)),""))</f>
        <v/>
      </c>
      <c r="Z33" s="39" t="str">
        <f aca="false">IF($A33="","",IFERROR(INDEX('Project Financials'!$AC$5:$AC$64,MATCH($A33,'Project Financials'!$A$5:$A$64,0)),""))</f>
        <v/>
      </c>
      <c r="AA33" s="39" t="str">
        <f aca="false">IF($A33="","",IFERROR(INDEX(Payments!$N$5:$N$64,MATCH($A33,Payments!$B$5:$B$64,0)),""))</f>
        <v/>
      </c>
    </row>
    <row r="34" customFormat="false" ht="21.75" hidden="false" customHeight="true" outlineLevel="0" collapsed="false">
      <c r="A34" s="30"/>
      <c r="B34" s="20" t="str">
        <f aca="false">IF($A34="","",IFERROR(INDEX('Fragrance Projects'!$C$5:$C$64,MATCH($A34,'Fragrance Projects'!$A$5:$A$64,0)),""))</f>
        <v/>
      </c>
      <c r="C34" s="20" t="str">
        <f aca="false">IF($A34="","",IFERROR(INDEX('Fragrance Projects'!$D$5:$D$64,MATCH($A34,'Fragrance Projects'!$A$5:$A$64,0)),""))</f>
        <v/>
      </c>
      <c r="D34" s="30"/>
      <c r="E34" s="30"/>
      <c r="F34" s="20" t="str">
        <f aca="false">IF($A34="","",IFERROR(INDEX(Clients!$R$5:$R$44,MATCH($W34,Clients!$A$5:$A$44,0)),""))</f>
        <v/>
      </c>
      <c r="G34" s="20" t="str">
        <f aca="false">IF($A34="","",IF(IFERROR(INDEX(Payments!$G$5:$G$64,MATCH($A34,Payments!$B$5:$B$64,0)),0)&gt;0,"Yes","No"))</f>
        <v/>
      </c>
      <c r="H34" s="20" t="str">
        <f aca="false">IF($A34="","",IFERROR(INDEX('Fragrance Projects'!$L$5:$L$64,MATCH($A34,'Fragrance Projects'!$A$5:$A$64,0)),""))</f>
        <v/>
      </c>
      <c r="I34" s="20" t="str">
        <f aca="false">IF($A34="","",IF(AND(IFERROR(INDEX(Clients!$T$5:$T$44,MATCH($W34,Clients!$A$5:$A$44,0)),"")&lt;&gt;"",IFERROR(INDEX(Clients!$T$5:$T$44,MATCH($W34,Clients!$A$5:$A$44,0)),"")&lt;&gt;"Not Yet Agreed"),"Yes","No"))</f>
        <v/>
      </c>
      <c r="J34" s="30"/>
      <c r="K34" s="30"/>
      <c r="L34" s="30"/>
      <c r="M34" s="30"/>
      <c r="N34" s="30"/>
      <c r="O34" s="20" t="str">
        <f aca="false">IF($A34="","",IF(AND($Y34&lt;&gt;"",$Y34&gt;0,$X34&gt;0.4*$Y34),"Yes","No"))</f>
        <v/>
      </c>
      <c r="P34" s="20" t="str">
        <f aca="false">IF($A34="","",IF(AND($Z34&lt;&gt;"",$Z34&lt;0.15),"Yes","No"))</f>
        <v/>
      </c>
      <c r="Q34" s="20" t="str">
        <f aca="false">IF($A34="","",IF($AA34="Overdue","Yes","No"))</f>
        <v/>
      </c>
      <c r="R34" s="30"/>
      <c r="S34" s="30"/>
      <c r="T34" s="30"/>
      <c r="U34" s="20" t="str">
        <f aca="false">IF($A34="","",_xlfn.IFS((IF($D34="No",1,0)+IF($E34="No",1,0)+IF($F34="No",1,0)+IF($G34="No",1,0)+IF($I34="No",1,0)+IF($J34="No",1,0)+IF($K34="No",1,0)+IF($L34="Yes",1,0)+IF($M34="Yes",1,0)+IF($N34="Yes",1,0)+IF($O34="Yes",1,0)+IF($P34="Yes",1,0)+IF($Q34="Yes",1,0)+IF($R34="Yes",1,0)+IF($S34="No",1,0)+IF($T34="No",1,0))&lt;=2,"LOW",(IF($D34="No",1,0)+IF($E34="No",1,0)+IF($F34="No",1,0)+IF($G34="No",1,0)+IF($I34="No",1,0)+IF($J34="No",1,0)+IF($K34="No",1,0)+IF($L34="Yes",1,0)+IF($M34="Yes",1,0)+IF($N34="Yes",1,0)+IF($O34="Yes",1,0)+IF($P34="Yes",1,0)+IF($Q34="Yes",1,0)+IF($R34="Yes",1,0)+IF($S34="No",1,0)+IF($T34="No",1,0))&lt;=5,"MEDIUM",TRUE(),"HIGH"))</f>
        <v/>
      </c>
      <c r="V34" s="19" t="str">
        <f aca="false">IF($A34="","",IF(LEN(IF($D34="No","Scope undefined; ","")&amp;IF($E34="No","Brief unclear; ","")&amp;IF($F34="No","Contract not signed; ","")&amp;IF($G34="No","Deposit unpaid; ","")&amp;IF($I34="No","Ownership not agreed; ","")&amp;IF($J34="No","Deadline unrealistic; ","")&amp;IF($K34="No","Slow client response; ","")&amp;IF($L34="Yes","Brief keeps changing; ","")&amp;IF($M34="Yes","Extra work requested; ","")&amp;IF($N34="Yes","Exceeding expected hours; ","")&amp;IF($O34="Yes","Expenses over budget; ","")&amp;IF($P34="Yes","Margin too low; ","")&amp;IF($Q34="Yes","Payment overdue; ","")&amp;IF($R34="Yes","Scope creep; ","")&amp;IF($S34="No","Compliance unclear; ","")&amp;IF($T34="No","Manufacturing handover unclear; ",""))=0,"None — healthy",LEFT(IF($D34="No","Scope undefined; ","")&amp;IF($E34="No","Brief unclear; ","")&amp;IF($F34="No","Contract not signed; ","")&amp;IF($G34="No","Deposit unpaid; ","")&amp;IF($I34="No","Ownership not agreed; ","")&amp;IF($J34="No","Deadline unrealistic; ","")&amp;IF($K34="No","Slow client response; ","")&amp;IF($L34="Yes","Brief keeps changing; ","")&amp;IF($M34="Yes","Extra work requested; ","")&amp;IF($N34="Yes","Exceeding expected hours; ","")&amp;IF($O34="Yes","Expenses over budget; ","")&amp;IF($P34="Yes","Margin too low; ","")&amp;IF($Q34="Yes","Payment overdue; ","")&amp;IF($R34="Yes","Scope creep; ","")&amp;IF($S34="No","Compliance unclear; ","")&amp;IF($T34="No","Manufacturing handover unclear; ",""),LEN(IF($D34="No","Scope undefined; ","")&amp;IF($E34="No","Brief unclear; ","")&amp;IF($F34="No","Contract not signed; ","")&amp;IF($G34="No","Deposit unpaid; ","")&amp;IF($I34="No","Ownership not agreed; ","")&amp;IF($J34="No","Deadline unrealistic; ","")&amp;IF($K34="No","Slow client response; ","")&amp;IF($L34="Yes","Brief keeps changing; ","")&amp;IF($M34="Yes","Extra work requested; ","")&amp;IF($N34="Yes","Exceeding expected hours; ","")&amp;IF($O34="Yes","Expenses over budget; ","")&amp;IF($P34="Yes","Margin too low; ","")&amp;IF($Q34="Yes","Payment overdue; ","")&amp;IF($R34="Yes","Scope creep; ","")&amp;IF($S34="No","Compliance unclear; ","")&amp;IF($T34="No","Manufacturing handover unclear; ",""))-2)))</f>
        <v/>
      </c>
      <c r="W34" s="39" t="str">
        <f aca="false">IF($A34="","",IFERROR(INDEX('Fragrance Projects'!$B$5:$B$64,MATCH($A34,'Fragrance Projects'!$A$5:$A$64,0)),""))</f>
        <v/>
      </c>
      <c r="X34" s="39" t="str">
        <f aca="false">IF($A34="","",IFERROR(INDEX('Project Financials'!$U$5:$U$64,MATCH($A34,'Project Financials'!$A$5:$A$64,0)),""))</f>
        <v/>
      </c>
      <c r="Y34" s="39" t="str">
        <f aca="false">IF($A34="","",IFERROR(INDEX('Project Financials'!$D$5:$D$64,MATCH($A34,'Project Financials'!$A$5:$A$64,0)),""))</f>
        <v/>
      </c>
      <c r="Z34" s="39" t="str">
        <f aca="false">IF($A34="","",IFERROR(INDEX('Project Financials'!$AC$5:$AC$64,MATCH($A34,'Project Financials'!$A$5:$A$64,0)),""))</f>
        <v/>
      </c>
      <c r="AA34" s="39" t="str">
        <f aca="false">IF($A34="","",IFERROR(INDEX(Payments!$N$5:$N$64,MATCH($A34,Payments!$B$5:$B$64,0)),""))</f>
        <v/>
      </c>
    </row>
    <row r="35" customFormat="false" ht="21.75" hidden="false" customHeight="true" outlineLevel="0" collapsed="false">
      <c r="A35" s="30"/>
      <c r="B35" s="20" t="str">
        <f aca="false">IF($A35="","",IFERROR(INDEX('Fragrance Projects'!$C$5:$C$64,MATCH($A35,'Fragrance Projects'!$A$5:$A$64,0)),""))</f>
        <v/>
      </c>
      <c r="C35" s="20" t="str">
        <f aca="false">IF($A35="","",IFERROR(INDEX('Fragrance Projects'!$D$5:$D$64,MATCH($A35,'Fragrance Projects'!$A$5:$A$64,0)),""))</f>
        <v/>
      </c>
      <c r="D35" s="30"/>
      <c r="E35" s="30"/>
      <c r="F35" s="20" t="str">
        <f aca="false">IF($A35="","",IFERROR(INDEX(Clients!$R$5:$R$44,MATCH($W35,Clients!$A$5:$A$44,0)),""))</f>
        <v/>
      </c>
      <c r="G35" s="20" t="str">
        <f aca="false">IF($A35="","",IF(IFERROR(INDEX(Payments!$G$5:$G$64,MATCH($A35,Payments!$B$5:$B$64,0)),0)&gt;0,"Yes","No"))</f>
        <v/>
      </c>
      <c r="H35" s="20" t="str">
        <f aca="false">IF($A35="","",IFERROR(INDEX('Fragrance Projects'!$L$5:$L$64,MATCH($A35,'Fragrance Projects'!$A$5:$A$64,0)),""))</f>
        <v/>
      </c>
      <c r="I35" s="20" t="str">
        <f aca="false">IF($A35="","",IF(AND(IFERROR(INDEX(Clients!$T$5:$T$44,MATCH($W35,Clients!$A$5:$A$44,0)),"")&lt;&gt;"",IFERROR(INDEX(Clients!$T$5:$T$44,MATCH($W35,Clients!$A$5:$A$44,0)),"")&lt;&gt;"Not Yet Agreed"),"Yes","No"))</f>
        <v/>
      </c>
      <c r="J35" s="30"/>
      <c r="K35" s="30"/>
      <c r="L35" s="30"/>
      <c r="M35" s="30"/>
      <c r="N35" s="30"/>
      <c r="O35" s="20" t="str">
        <f aca="false">IF($A35="","",IF(AND($Y35&lt;&gt;"",$Y35&gt;0,$X35&gt;0.4*$Y35),"Yes","No"))</f>
        <v/>
      </c>
      <c r="P35" s="20" t="str">
        <f aca="false">IF($A35="","",IF(AND($Z35&lt;&gt;"",$Z35&lt;0.15),"Yes","No"))</f>
        <v/>
      </c>
      <c r="Q35" s="20" t="str">
        <f aca="false">IF($A35="","",IF($AA35="Overdue","Yes","No"))</f>
        <v/>
      </c>
      <c r="R35" s="30"/>
      <c r="S35" s="30"/>
      <c r="T35" s="30"/>
      <c r="U35" s="20" t="str">
        <f aca="false">IF($A35="","",_xlfn.IFS((IF($D35="No",1,0)+IF($E35="No",1,0)+IF($F35="No",1,0)+IF($G35="No",1,0)+IF($I35="No",1,0)+IF($J35="No",1,0)+IF($K35="No",1,0)+IF($L35="Yes",1,0)+IF($M35="Yes",1,0)+IF($N35="Yes",1,0)+IF($O35="Yes",1,0)+IF($P35="Yes",1,0)+IF($Q35="Yes",1,0)+IF($R35="Yes",1,0)+IF($S35="No",1,0)+IF($T35="No",1,0))&lt;=2,"LOW",(IF($D35="No",1,0)+IF($E35="No",1,0)+IF($F35="No",1,0)+IF($G35="No",1,0)+IF($I35="No",1,0)+IF($J35="No",1,0)+IF($K35="No",1,0)+IF($L35="Yes",1,0)+IF($M35="Yes",1,0)+IF($N35="Yes",1,0)+IF($O35="Yes",1,0)+IF($P35="Yes",1,0)+IF($Q35="Yes",1,0)+IF($R35="Yes",1,0)+IF($S35="No",1,0)+IF($T35="No",1,0))&lt;=5,"MEDIUM",TRUE(),"HIGH"))</f>
        <v/>
      </c>
      <c r="V35" s="19" t="str">
        <f aca="false">IF($A35="","",IF(LEN(IF($D35="No","Scope undefined; ","")&amp;IF($E35="No","Brief unclear; ","")&amp;IF($F35="No","Contract not signed; ","")&amp;IF($G35="No","Deposit unpaid; ","")&amp;IF($I35="No","Ownership not agreed; ","")&amp;IF($J35="No","Deadline unrealistic; ","")&amp;IF($K35="No","Slow client response; ","")&amp;IF($L35="Yes","Brief keeps changing; ","")&amp;IF($M35="Yes","Extra work requested; ","")&amp;IF($N35="Yes","Exceeding expected hours; ","")&amp;IF($O35="Yes","Expenses over budget; ","")&amp;IF($P35="Yes","Margin too low; ","")&amp;IF($Q35="Yes","Payment overdue; ","")&amp;IF($R35="Yes","Scope creep; ","")&amp;IF($S35="No","Compliance unclear; ","")&amp;IF($T35="No","Manufacturing handover unclear; ",""))=0,"None — healthy",LEFT(IF($D35="No","Scope undefined; ","")&amp;IF($E35="No","Brief unclear; ","")&amp;IF($F35="No","Contract not signed; ","")&amp;IF($G35="No","Deposit unpaid; ","")&amp;IF($I35="No","Ownership not agreed; ","")&amp;IF($J35="No","Deadline unrealistic; ","")&amp;IF($K35="No","Slow client response; ","")&amp;IF($L35="Yes","Brief keeps changing; ","")&amp;IF($M35="Yes","Extra work requested; ","")&amp;IF($N35="Yes","Exceeding expected hours; ","")&amp;IF($O35="Yes","Expenses over budget; ","")&amp;IF($P35="Yes","Margin too low; ","")&amp;IF($Q35="Yes","Payment overdue; ","")&amp;IF($R35="Yes","Scope creep; ","")&amp;IF($S35="No","Compliance unclear; ","")&amp;IF($T35="No","Manufacturing handover unclear; ",""),LEN(IF($D35="No","Scope undefined; ","")&amp;IF($E35="No","Brief unclear; ","")&amp;IF($F35="No","Contract not signed; ","")&amp;IF($G35="No","Deposit unpaid; ","")&amp;IF($I35="No","Ownership not agreed; ","")&amp;IF($J35="No","Deadline unrealistic; ","")&amp;IF($K35="No","Slow client response; ","")&amp;IF($L35="Yes","Brief keeps changing; ","")&amp;IF($M35="Yes","Extra work requested; ","")&amp;IF($N35="Yes","Exceeding expected hours; ","")&amp;IF($O35="Yes","Expenses over budget; ","")&amp;IF($P35="Yes","Margin too low; ","")&amp;IF($Q35="Yes","Payment overdue; ","")&amp;IF($R35="Yes","Scope creep; ","")&amp;IF($S35="No","Compliance unclear; ","")&amp;IF($T35="No","Manufacturing handover unclear; ",""))-2)))</f>
        <v/>
      </c>
      <c r="W35" s="39" t="str">
        <f aca="false">IF($A35="","",IFERROR(INDEX('Fragrance Projects'!$B$5:$B$64,MATCH($A35,'Fragrance Projects'!$A$5:$A$64,0)),""))</f>
        <v/>
      </c>
      <c r="X35" s="39" t="str">
        <f aca="false">IF($A35="","",IFERROR(INDEX('Project Financials'!$U$5:$U$64,MATCH($A35,'Project Financials'!$A$5:$A$64,0)),""))</f>
        <v/>
      </c>
      <c r="Y35" s="39" t="str">
        <f aca="false">IF($A35="","",IFERROR(INDEX('Project Financials'!$D$5:$D$64,MATCH($A35,'Project Financials'!$A$5:$A$64,0)),""))</f>
        <v/>
      </c>
      <c r="Z35" s="39" t="str">
        <f aca="false">IF($A35="","",IFERROR(INDEX('Project Financials'!$AC$5:$AC$64,MATCH($A35,'Project Financials'!$A$5:$A$64,0)),""))</f>
        <v/>
      </c>
      <c r="AA35" s="39" t="str">
        <f aca="false">IF($A35="","",IFERROR(INDEX(Payments!$N$5:$N$64,MATCH($A35,Payments!$B$5:$B$64,0)),""))</f>
        <v/>
      </c>
    </row>
    <row r="36" customFormat="false" ht="21.75" hidden="false" customHeight="true" outlineLevel="0" collapsed="false">
      <c r="A36" s="30"/>
      <c r="B36" s="20" t="str">
        <f aca="false">IF($A36="","",IFERROR(INDEX('Fragrance Projects'!$C$5:$C$64,MATCH($A36,'Fragrance Projects'!$A$5:$A$64,0)),""))</f>
        <v/>
      </c>
      <c r="C36" s="20" t="str">
        <f aca="false">IF($A36="","",IFERROR(INDEX('Fragrance Projects'!$D$5:$D$64,MATCH($A36,'Fragrance Projects'!$A$5:$A$64,0)),""))</f>
        <v/>
      </c>
      <c r="D36" s="30"/>
      <c r="E36" s="30"/>
      <c r="F36" s="20" t="str">
        <f aca="false">IF($A36="","",IFERROR(INDEX(Clients!$R$5:$R$44,MATCH($W36,Clients!$A$5:$A$44,0)),""))</f>
        <v/>
      </c>
      <c r="G36" s="20" t="str">
        <f aca="false">IF($A36="","",IF(IFERROR(INDEX(Payments!$G$5:$G$64,MATCH($A36,Payments!$B$5:$B$64,0)),0)&gt;0,"Yes","No"))</f>
        <v/>
      </c>
      <c r="H36" s="20" t="str">
        <f aca="false">IF($A36="","",IFERROR(INDEX('Fragrance Projects'!$L$5:$L$64,MATCH($A36,'Fragrance Projects'!$A$5:$A$64,0)),""))</f>
        <v/>
      </c>
      <c r="I36" s="20" t="str">
        <f aca="false">IF($A36="","",IF(AND(IFERROR(INDEX(Clients!$T$5:$T$44,MATCH($W36,Clients!$A$5:$A$44,0)),"")&lt;&gt;"",IFERROR(INDEX(Clients!$T$5:$T$44,MATCH($W36,Clients!$A$5:$A$44,0)),"")&lt;&gt;"Not Yet Agreed"),"Yes","No"))</f>
        <v/>
      </c>
      <c r="J36" s="30"/>
      <c r="K36" s="30"/>
      <c r="L36" s="30"/>
      <c r="M36" s="30"/>
      <c r="N36" s="30"/>
      <c r="O36" s="20" t="str">
        <f aca="false">IF($A36="","",IF(AND($Y36&lt;&gt;"",$Y36&gt;0,$X36&gt;0.4*$Y36),"Yes","No"))</f>
        <v/>
      </c>
      <c r="P36" s="20" t="str">
        <f aca="false">IF($A36="","",IF(AND($Z36&lt;&gt;"",$Z36&lt;0.15),"Yes","No"))</f>
        <v/>
      </c>
      <c r="Q36" s="20" t="str">
        <f aca="false">IF($A36="","",IF($AA36="Overdue","Yes","No"))</f>
        <v/>
      </c>
      <c r="R36" s="30"/>
      <c r="S36" s="30"/>
      <c r="T36" s="30"/>
      <c r="U36" s="20" t="str">
        <f aca="false">IF($A36="","",_xlfn.IFS((IF($D36="No",1,0)+IF($E36="No",1,0)+IF($F36="No",1,0)+IF($G36="No",1,0)+IF($I36="No",1,0)+IF($J36="No",1,0)+IF($K36="No",1,0)+IF($L36="Yes",1,0)+IF($M36="Yes",1,0)+IF($N36="Yes",1,0)+IF($O36="Yes",1,0)+IF($P36="Yes",1,0)+IF($Q36="Yes",1,0)+IF($R36="Yes",1,0)+IF($S36="No",1,0)+IF($T36="No",1,0))&lt;=2,"LOW",(IF($D36="No",1,0)+IF($E36="No",1,0)+IF($F36="No",1,0)+IF($G36="No",1,0)+IF($I36="No",1,0)+IF($J36="No",1,0)+IF($K36="No",1,0)+IF($L36="Yes",1,0)+IF($M36="Yes",1,0)+IF($N36="Yes",1,0)+IF($O36="Yes",1,0)+IF($P36="Yes",1,0)+IF($Q36="Yes",1,0)+IF($R36="Yes",1,0)+IF($S36="No",1,0)+IF($T36="No",1,0))&lt;=5,"MEDIUM",TRUE(),"HIGH"))</f>
        <v/>
      </c>
      <c r="V36" s="19" t="str">
        <f aca="false">IF($A36="","",IF(LEN(IF($D36="No","Scope undefined; ","")&amp;IF($E36="No","Brief unclear; ","")&amp;IF($F36="No","Contract not signed; ","")&amp;IF($G36="No","Deposit unpaid; ","")&amp;IF($I36="No","Ownership not agreed; ","")&amp;IF($J36="No","Deadline unrealistic; ","")&amp;IF($K36="No","Slow client response; ","")&amp;IF($L36="Yes","Brief keeps changing; ","")&amp;IF($M36="Yes","Extra work requested; ","")&amp;IF($N36="Yes","Exceeding expected hours; ","")&amp;IF($O36="Yes","Expenses over budget; ","")&amp;IF($P36="Yes","Margin too low; ","")&amp;IF($Q36="Yes","Payment overdue; ","")&amp;IF($R36="Yes","Scope creep; ","")&amp;IF($S36="No","Compliance unclear; ","")&amp;IF($T36="No","Manufacturing handover unclear; ",""))=0,"None — healthy",LEFT(IF($D36="No","Scope undefined; ","")&amp;IF($E36="No","Brief unclear; ","")&amp;IF($F36="No","Contract not signed; ","")&amp;IF($G36="No","Deposit unpaid; ","")&amp;IF($I36="No","Ownership not agreed; ","")&amp;IF($J36="No","Deadline unrealistic; ","")&amp;IF($K36="No","Slow client response; ","")&amp;IF($L36="Yes","Brief keeps changing; ","")&amp;IF($M36="Yes","Extra work requested; ","")&amp;IF($N36="Yes","Exceeding expected hours; ","")&amp;IF($O36="Yes","Expenses over budget; ","")&amp;IF($P36="Yes","Margin too low; ","")&amp;IF($Q36="Yes","Payment overdue; ","")&amp;IF($R36="Yes","Scope creep; ","")&amp;IF($S36="No","Compliance unclear; ","")&amp;IF($T36="No","Manufacturing handover unclear; ",""),LEN(IF($D36="No","Scope undefined; ","")&amp;IF($E36="No","Brief unclear; ","")&amp;IF($F36="No","Contract not signed; ","")&amp;IF($G36="No","Deposit unpaid; ","")&amp;IF($I36="No","Ownership not agreed; ","")&amp;IF($J36="No","Deadline unrealistic; ","")&amp;IF($K36="No","Slow client response; ","")&amp;IF($L36="Yes","Brief keeps changing; ","")&amp;IF($M36="Yes","Extra work requested; ","")&amp;IF($N36="Yes","Exceeding expected hours; ","")&amp;IF($O36="Yes","Expenses over budget; ","")&amp;IF($P36="Yes","Margin too low; ","")&amp;IF($Q36="Yes","Payment overdue; ","")&amp;IF($R36="Yes","Scope creep; ","")&amp;IF($S36="No","Compliance unclear; ","")&amp;IF($T36="No","Manufacturing handover unclear; ",""))-2)))</f>
        <v/>
      </c>
      <c r="W36" s="39" t="str">
        <f aca="false">IF($A36="","",IFERROR(INDEX('Fragrance Projects'!$B$5:$B$64,MATCH($A36,'Fragrance Projects'!$A$5:$A$64,0)),""))</f>
        <v/>
      </c>
      <c r="X36" s="39" t="str">
        <f aca="false">IF($A36="","",IFERROR(INDEX('Project Financials'!$U$5:$U$64,MATCH($A36,'Project Financials'!$A$5:$A$64,0)),""))</f>
        <v/>
      </c>
      <c r="Y36" s="39" t="str">
        <f aca="false">IF($A36="","",IFERROR(INDEX('Project Financials'!$D$5:$D$64,MATCH($A36,'Project Financials'!$A$5:$A$64,0)),""))</f>
        <v/>
      </c>
      <c r="Z36" s="39" t="str">
        <f aca="false">IF($A36="","",IFERROR(INDEX('Project Financials'!$AC$5:$AC$64,MATCH($A36,'Project Financials'!$A$5:$A$64,0)),""))</f>
        <v/>
      </c>
      <c r="AA36" s="39" t="str">
        <f aca="false">IF($A36="","",IFERROR(INDEX(Payments!$N$5:$N$64,MATCH($A36,Payments!$B$5:$B$64,0)),""))</f>
        <v/>
      </c>
    </row>
    <row r="37" customFormat="false" ht="21.75" hidden="false" customHeight="true" outlineLevel="0" collapsed="false">
      <c r="A37" s="30"/>
      <c r="B37" s="20" t="str">
        <f aca="false">IF($A37="","",IFERROR(INDEX('Fragrance Projects'!$C$5:$C$64,MATCH($A37,'Fragrance Projects'!$A$5:$A$64,0)),""))</f>
        <v/>
      </c>
      <c r="C37" s="20" t="str">
        <f aca="false">IF($A37="","",IFERROR(INDEX('Fragrance Projects'!$D$5:$D$64,MATCH($A37,'Fragrance Projects'!$A$5:$A$64,0)),""))</f>
        <v/>
      </c>
      <c r="D37" s="30"/>
      <c r="E37" s="30"/>
      <c r="F37" s="20" t="str">
        <f aca="false">IF($A37="","",IFERROR(INDEX(Clients!$R$5:$R$44,MATCH($W37,Clients!$A$5:$A$44,0)),""))</f>
        <v/>
      </c>
      <c r="G37" s="20" t="str">
        <f aca="false">IF($A37="","",IF(IFERROR(INDEX(Payments!$G$5:$G$64,MATCH($A37,Payments!$B$5:$B$64,0)),0)&gt;0,"Yes","No"))</f>
        <v/>
      </c>
      <c r="H37" s="20" t="str">
        <f aca="false">IF($A37="","",IFERROR(INDEX('Fragrance Projects'!$L$5:$L$64,MATCH($A37,'Fragrance Projects'!$A$5:$A$64,0)),""))</f>
        <v/>
      </c>
      <c r="I37" s="20" t="str">
        <f aca="false">IF($A37="","",IF(AND(IFERROR(INDEX(Clients!$T$5:$T$44,MATCH($W37,Clients!$A$5:$A$44,0)),"")&lt;&gt;"",IFERROR(INDEX(Clients!$T$5:$T$44,MATCH($W37,Clients!$A$5:$A$44,0)),"")&lt;&gt;"Not Yet Agreed"),"Yes","No"))</f>
        <v/>
      </c>
      <c r="J37" s="30"/>
      <c r="K37" s="30"/>
      <c r="L37" s="30"/>
      <c r="M37" s="30"/>
      <c r="N37" s="30"/>
      <c r="O37" s="20" t="str">
        <f aca="false">IF($A37="","",IF(AND($Y37&lt;&gt;"",$Y37&gt;0,$X37&gt;0.4*$Y37),"Yes","No"))</f>
        <v/>
      </c>
      <c r="P37" s="20" t="str">
        <f aca="false">IF($A37="","",IF(AND($Z37&lt;&gt;"",$Z37&lt;0.15),"Yes","No"))</f>
        <v/>
      </c>
      <c r="Q37" s="20" t="str">
        <f aca="false">IF($A37="","",IF($AA37="Overdue","Yes","No"))</f>
        <v/>
      </c>
      <c r="R37" s="30"/>
      <c r="S37" s="30"/>
      <c r="T37" s="30"/>
      <c r="U37" s="20" t="str">
        <f aca="false">IF($A37="","",_xlfn.IFS((IF($D37="No",1,0)+IF($E37="No",1,0)+IF($F37="No",1,0)+IF($G37="No",1,0)+IF($I37="No",1,0)+IF($J37="No",1,0)+IF($K37="No",1,0)+IF($L37="Yes",1,0)+IF($M37="Yes",1,0)+IF($N37="Yes",1,0)+IF($O37="Yes",1,0)+IF($P37="Yes",1,0)+IF($Q37="Yes",1,0)+IF($R37="Yes",1,0)+IF($S37="No",1,0)+IF($T37="No",1,0))&lt;=2,"LOW",(IF($D37="No",1,0)+IF($E37="No",1,0)+IF($F37="No",1,0)+IF($G37="No",1,0)+IF($I37="No",1,0)+IF($J37="No",1,0)+IF($K37="No",1,0)+IF($L37="Yes",1,0)+IF($M37="Yes",1,0)+IF($N37="Yes",1,0)+IF($O37="Yes",1,0)+IF($P37="Yes",1,0)+IF($Q37="Yes",1,0)+IF($R37="Yes",1,0)+IF($S37="No",1,0)+IF($T37="No",1,0))&lt;=5,"MEDIUM",TRUE(),"HIGH"))</f>
        <v/>
      </c>
      <c r="V37" s="19" t="str">
        <f aca="false">IF($A37="","",IF(LEN(IF($D37="No","Scope undefined; ","")&amp;IF($E37="No","Brief unclear; ","")&amp;IF($F37="No","Contract not signed; ","")&amp;IF($G37="No","Deposit unpaid; ","")&amp;IF($I37="No","Ownership not agreed; ","")&amp;IF($J37="No","Deadline unrealistic; ","")&amp;IF($K37="No","Slow client response; ","")&amp;IF($L37="Yes","Brief keeps changing; ","")&amp;IF($M37="Yes","Extra work requested; ","")&amp;IF($N37="Yes","Exceeding expected hours; ","")&amp;IF($O37="Yes","Expenses over budget; ","")&amp;IF($P37="Yes","Margin too low; ","")&amp;IF($Q37="Yes","Payment overdue; ","")&amp;IF($R37="Yes","Scope creep; ","")&amp;IF($S37="No","Compliance unclear; ","")&amp;IF($T37="No","Manufacturing handover unclear; ",""))=0,"None — healthy",LEFT(IF($D37="No","Scope undefined; ","")&amp;IF($E37="No","Brief unclear; ","")&amp;IF($F37="No","Contract not signed; ","")&amp;IF($G37="No","Deposit unpaid; ","")&amp;IF($I37="No","Ownership not agreed; ","")&amp;IF($J37="No","Deadline unrealistic; ","")&amp;IF($K37="No","Slow client response; ","")&amp;IF($L37="Yes","Brief keeps changing; ","")&amp;IF($M37="Yes","Extra work requested; ","")&amp;IF($N37="Yes","Exceeding expected hours; ","")&amp;IF($O37="Yes","Expenses over budget; ","")&amp;IF($P37="Yes","Margin too low; ","")&amp;IF($Q37="Yes","Payment overdue; ","")&amp;IF($R37="Yes","Scope creep; ","")&amp;IF($S37="No","Compliance unclear; ","")&amp;IF($T37="No","Manufacturing handover unclear; ",""),LEN(IF($D37="No","Scope undefined; ","")&amp;IF($E37="No","Brief unclear; ","")&amp;IF($F37="No","Contract not signed; ","")&amp;IF($G37="No","Deposit unpaid; ","")&amp;IF($I37="No","Ownership not agreed; ","")&amp;IF($J37="No","Deadline unrealistic; ","")&amp;IF($K37="No","Slow client response; ","")&amp;IF($L37="Yes","Brief keeps changing; ","")&amp;IF($M37="Yes","Extra work requested; ","")&amp;IF($N37="Yes","Exceeding expected hours; ","")&amp;IF($O37="Yes","Expenses over budget; ","")&amp;IF($P37="Yes","Margin too low; ","")&amp;IF($Q37="Yes","Payment overdue; ","")&amp;IF($R37="Yes","Scope creep; ","")&amp;IF($S37="No","Compliance unclear; ","")&amp;IF($T37="No","Manufacturing handover unclear; ",""))-2)))</f>
        <v/>
      </c>
      <c r="W37" s="39" t="str">
        <f aca="false">IF($A37="","",IFERROR(INDEX('Fragrance Projects'!$B$5:$B$64,MATCH($A37,'Fragrance Projects'!$A$5:$A$64,0)),""))</f>
        <v/>
      </c>
      <c r="X37" s="39" t="str">
        <f aca="false">IF($A37="","",IFERROR(INDEX('Project Financials'!$U$5:$U$64,MATCH($A37,'Project Financials'!$A$5:$A$64,0)),""))</f>
        <v/>
      </c>
      <c r="Y37" s="39" t="str">
        <f aca="false">IF($A37="","",IFERROR(INDEX('Project Financials'!$D$5:$D$64,MATCH($A37,'Project Financials'!$A$5:$A$64,0)),""))</f>
        <v/>
      </c>
      <c r="Z37" s="39" t="str">
        <f aca="false">IF($A37="","",IFERROR(INDEX('Project Financials'!$AC$5:$AC$64,MATCH($A37,'Project Financials'!$A$5:$A$64,0)),""))</f>
        <v/>
      </c>
      <c r="AA37" s="39" t="str">
        <f aca="false">IF($A37="","",IFERROR(INDEX(Payments!$N$5:$N$64,MATCH($A37,Payments!$B$5:$B$64,0)),""))</f>
        <v/>
      </c>
    </row>
    <row r="38" customFormat="false" ht="21.75" hidden="false" customHeight="true" outlineLevel="0" collapsed="false">
      <c r="A38" s="30"/>
      <c r="B38" s="20" t="str">
        <f aca="false">IF($A38="","",IFERROR(INDEX('Fragrance Projects'!$C$5:$C$64,MATCH($A38,'Fragrance Projects'!$A$5:$A$64,0)),""))</f>
        <v/>
      </c>
      <c r="C38" s="20" t="str">
        <f aca="false">IF($A38="","",IFERROR(INDEX('Fragrance Projects'!$D$5:$D$64,MATCH($A38,'Fragrance Projects'!$A$5:$A$64,0)),""))</f>
        <v/>
      </c>
      <c r="D38" s="30"/>
      <c r="E38" s="30"/>
      <c r="F38" s="20" t="str">
        <f aca="false">IF($A38="","",IFERROR(INDEX(Clients!$R$5:$R$44,MATCH($W38,Clients!$A$5:$A$44,0)),""))</f>
        <v/>
      </c>
      <c r="G38" s="20" t="str">
        <f aca="false">IF($A38="","",IF(IFERROR(INDEX(Payments!$G$5:$G$64,MATCH($A38,Payments!$B$5:$B$64,0)),0)&gt;0,"Yes","No"))</f>
        <v/>
      </c>
      <c r="H38" s="20" t="str">
        <f aca="false">IF($A38="","",IFERROR(INDEX('Fragrance Projects'!$L$5:$L$64,MATCH($A38,'Fragrance Projects'!$A$5:$A$64,0)),""))</f>
        <v/>
      </c>
      <c r="I38" s="20" t="str">
        <f aca="false">IF($A38="","",IF(AND(IFERROR(INDEX(Clients!$T$5:$T$44,MATCH($W38,Clients!$A$5:$A$44,0)),"")&lt;&gt;"",IFERROR(INDEX(Clients!$T$5:$T$44,MATCH($W38,Clients!$A$5:$A$44,0)),"")&lt;&gt;"Not Yet Agreed"),"Yes","No"))</f>
        <v/>
      </c>
      <c r="J38" s="30"/>
      <c r="K38" s="30"/>
      <c r="L38" s="30"/>
      <c r="M38" s="30"/>
      <c r="N38" s="30"/>
      <c r="O38" s="20" t="str">
        <f aca="false">IF($A38="","",IF(AND($Y38&lt;&gt;"",$Y38&gt;0,$X38&gt;0.4*$Y38),"Yes","No"))</f>
        <v/>
      </c>
      <c r="P38" s="20" t="str">
        <f aca="false">IF($A38="","",IF(AND($Z38&lt;&gt;"",$Z38&lt;0.15),"Yes","No"))</f>
        <v/>
      </c>
      <c r="Q38" s="20" t="str">
        <f aca="false">IF($A38="","",IF($AA38="Overdue","Yes","No"))</f>
        <v/>
      </c>
      <c r="R38" s="30"/>
      <c r="S38" s="30"/>
      <c r="T38" s="30"/>
      <c r="U38" s="20" t="str">
        <f aca="false">IF($A38="","",_xlfn.IFS((IF($D38="No",1,0)+IF($E38="No",1,0)+IF($F38="No",1,0)+IF($G38="No",1,0)+IF($I38="No",1,0)+IF($J38="No",1,0)+IF($K38="No",1,0)+IF($L38="Yes",1,0)+IF($M38="Yes",1,0)+IF($N38="Yes",1,0)+IF($O38="Yes",1,0)+IF($P38="Yes",1,0)+IF($Q38="Yes",1,0)+IF($R38="Yes",1,0)+IF($S38="No",1,0)+IF($T38="No",1,0))&lt;=2,"LOW",(IF($D38="No",1,0)+IF($E38="No",1,0)+IF($F38="No",1,0)+IF($G38="No",1,0)+IF($I38="No",1,0)+IF($J38="No",1,0)+IF($K38="No",1,0)+IF($L38="Yes",1,0)+IF($M38="Yes",1,0)+IF($N38="Yes",1,0)+IF($O38="Yes",1,0)+IF($P38="Yes",1,0)+IF($Q38="Yes",1,0)+IF($R38="Yes",1,0)+IF($S38="No",1,0)+IF($T38="No",1,0))&lt;=5,"MEDIUM",TRUE(),"HIGH"))</f>
        <v/>
      </c>
      <c r="V38" s="19" t="str">
        <f aca="false">IF($A38="","",IF(LEN(IF($D38="No","Scope undefined; ","")&amp;IF($E38="No","Brief unclear; ","")&amp;IF($F38="No","Contract not signed; ","")&amp;IF($G38="No","Deposit unpaid; ","")&amp;IF($I38="No","Ownership not agreed; ","")&amp;IF($J38="No","Deadline unrealistic; ","")&amp;IF($K38="No","Slow client response; ","")&amp;IF($L38="Yes","Brief keeps changing; ","")&amp;IF($M38="Yes","Extra work requested; ","")&amp;IF($N38="Yes","Exceeding expected hours; ","")&amp;IF($O38="Yes","Expenses over budget; ","")&amp;IF($P38="Yes","Margin too low; ","")&amp;IF($Q38="Yes","Payment overdue; ","")&amp;IF($R38="Yes","Scope creep; ","")&amp;IF($S38="No","Compliance unclear; ","")&amp;IF($T38="No","Manufacturing handover unclear; ",""))=0,"None — healthy",LEFT(IF($D38="No","Scope undefined; ","")&amp;IF($E38="No","Brief unclear; ","")&amp;IF($F38="No","Contract not signed; ","")&amp;IF($G38="No","Deposit unpaid; ","")&amp;IF($I38="No","Ownership not agreed; ","")&amp;IF($J38="No","Deadline unrealistic; ","")&amp;IF($K38="No","Slow client response; ","")&amp;IF($L38="Yes","Brief keeps changing; ","")&amp;IF($M38="Yes","Extra work requested; ","")&amp;IF($N38="Yes","Exceeding expected hours; ","")&amp;IF($O38="Yes","Expenses over budget; ","")&amp;IF($P38="Yes","Margin too low; ","")&amp;IF($Q38="Yes","Payment overdue; ","")&amp;IF($R38="Yes","Scope creep; ","")&amp;IF($S38="No","Compliance unclear; ","")&amp;IF($T38="No","Manufacturing handover unclear; ",""),LEN(IF($D38="No","Scope undefined; ","")&amp;IF($E38="No","Brief unclear; ","")&amp;IF($F38="No","Contract not signed; ","")&amp;IF($G38="No","Deposit unpaid; ","")&amp;IF($I38="No","Ownership not agreed; ","")&amp;IF($J38="No","Deadline unrealistic; ","")&amp;IF($K38="No","Slow client response; ","")&amp;IF($L38="Yes","Brief keeps changing; ","")&amp;IF($M38="Yes","Extra work requested; ","")&amp;IF($N38="Yes","Exceeding expected hours; ","")&amp;IF($O38="Yes","Expenses over budget; ","")&amp;IF($P38="Yes","Margin too low; ","")&amp;IF($Q38="Yes","Payment overdue; ","")&amp;IF($R38="Yes","Scope creep; ","")&amp;IF($S38="No","Compliance unclear; ","")&amp;IF($T38="No","Manufacturing handover unclear; ",""))-2)))</f>
        <v/>
      </c>
      <c r="W38" s="39" t="str">
        <f aca="false">IF($A38="","",IFERROR(INDEX('Fragrance Projects'!$B$5:$B$64,MATCH($A38,'Fragrance Projects'!$A$5:$A$64,0)),""))</f>
        <v/>
      </c>
      <c r="X38" s="39" t="str">
        <f aca="false">IF($A38="","",IFERROR(INDEX('Project Financials'!$U$5:$U$64,MATCH($A38,'Project Financials'!$A$5:$A$64,0)),""))</f>
        <v/>
      </c>
      <c r="Y38" s="39" t="str">
        <f aca="false">IF($A38="","",IFERROR(INDEX('Project Financials'!$D$5:$D$64,MATCH($A38,'Project Financials'!$A$5:$A$64,0)),""))</f>
        <v/>
      </c>
      <c r="Z38" s="39" t="str">
        <f aca="false">IF($A38="","",IFERROR(INDEX('Project Financials'!$AC$5:$AC$64,MATCH($A38,'Project Financials'!$A$5:$A$64,0)),""))</f>
        <v/>
      </c>
      <c r="AA38" s="39" t="str">
        <f aca="false">IF($A38="","",IFERROR(INDEX(Payments!$N$5:$N$64,MATCH($A38,Payments!$B$5:$B$64,0)),""))</f>
        <v/>
      </c>
    </row>
    <row r="39" customFormat="false" ht="21.75" hidden="false" customHeight="true" outlineLevel="0" collapsed="false">
      <c r="A39" s="30"/>
      <c r="B39" s="20" t="str">
        <f aca="false">IF($A39="","",IFERROR(INDEX('Fragrance Projects'!$C$5:$C$64,MATCH($A39,'Fragrance Projects'!$A$5:$A$64,0)),""))</f>
        <v/>
      </c>
      <c r="C39" s="20" t="str">
        <f aca="false">IF($A39="","",IFERROR(INDEX('Fragrance Projects'!$D$5:$D$64,MATCH($A39,'Fragrance Projects'!$A$5:$A$64,0)),""))</f>
        <v/>
      </c>
      <c r="D39" s="30"/>
      <c r="E39" s="30"/>
      <c r="F39" s="20" t="str">
        <f aca="false">IF($A39="","",IFERROR(INDEX(Clients!$R$5:$R$44,MATCH($W39,Clients!$A$5:$A$44,0)),""))</f>
        <v/>
      </c>
      <c r="G39" s="20" t="str">
        <f aca="false">IF($A39="","",IF(IFERROR(INDEX(Payments!$G$5:$G$64,MATCH($A39,Payments!$B$5:$B$64,0)),0)&gt;0,"Yes","No"))</f>
        <v/>
      </c>
      <c r="H39" s="20" t="str">
        <f aca="false">IF($A39="","",IFERROR(INDEX('Fragrance Projects'!$L$5:$L$64,MATCH($A39,'Fragrance Projects'!$A$5:$A$64,0)),""))</f>
        <v/>
      </c>
      <c r="I39" s="20" t="str">
        <f aca="false">IF($A39="","",IF(AND(IFERROR(INDEX(Clients!$T$5:$T$44,MATCH($W39,Clients!$A$5:$A$44,0)),"")&lt;&gt;"",IFERROR(INDEX(Clients!$T$5:$T$44,MATCH($W39,Clients!$A$5:$A$44,0)),"")&lt;&gt;"Not Yet Agreed"),"Yes","No"))</f>
        <v/>
      </c>
      <c r="J39" s="30"/>
      <c r="K39" s="30"/>
      <c r="L39" s="30"/>
      <c r="M39" s="30"/>
      <c r="N39" s="30"/>
      <c r="O39" s="20" t="str">
        <f aca="false">IF($A39="","",IF(AND($Y39&lt;&gt;"",$Y39&gt;0,$X39&gt;0.4*$Y39),"Yes","No"))</f>
        <v/>
      </c>
      <c r="P39" s="20" t="str">
        <f aca="false">IF($A39="","",IF(AND($Z39&lt;&gt;"",$Z39&lt;0.15),"Yes","No"))</f>
        <v/>
      </c>
      <c r="Q39" s="20" t="str">
        <f aca="false">IF($A39="","",IF($AA39="Overdue","Yes","No"))</f>
        <v/>
      </c>
      <c r="R39" s="30"/>
      <c r="S39" s="30"/>
      <c r="T39" s="30"/>
      <c r="U39" s="20" t="str">
        <f aca="false">IF($A39="","",_xlfn.IFS((IF($D39="No",1,0)+IF($E39="No",1,0)+IF($F39="No",1,0)+IF($G39="No",1,0)+IF($I39="No",1,0)+IF($J39="No",1,0)+IF($K39="No",1,0)+IF($L39="Yes",1,0)+IF($M39="Yes",1,0)+IF($N39="Yes",1,0)+IF($O39="Yes",1,0)+IF($P39="Yes",1,0)+IF($Q39="Yes",1,0)+IF($R39="Yes",1,0)+IF($S39="No",1,0)+IF($T39="No",1,0))&lt;=2,"LOW",(IF($D39="No",1,0)+IF($E39="No",1,0)+IF($F39="No",1,0)+IF($G39="No",1,0)+IF($I39="No",1,0)+IF($J39="No",1,0)+IF($K39="No",1,0)+IF($L39="Yes",1,0)+IF($M39="Yes",1,0)+IF($N39="Yes",1,0)+IF($O39="Yes",1,0)+IF($P39="Yes",1,0)+IF($Q39="Yes",1,0)+IF($R39="Yes",1,0)+IF($S39="No",1,0)+IF($T39="No",1,0))&lt;=5,"MEDIUM",TRUE(),"HIGH"))</f>
        <v/>
      </c>
      <c r="V39" s="19" t="str">
        <f aca="false">IF($A39="","",IF(LEN(IF($D39="No","Scope undefined; ","")&amp;IF($E39="No","Brief unclear; ","")&amp;IF($F39="No","Contract not signed; ","")&amp;IF($G39="No","Deposit unpaid; ","")&amp;IF($I39="No","Ownership not agreed; ","")&amp;IF($J39="No","Deadline unrealistic; ","")&amp;IF($K39="No","Slow client response; ","")&amp;IF($L39="Yes","Brief keeps changing; ","")&amp;IF($M39="Yes","Extra work requested; ","")&amp;IF($N39="Yes","Exceeding expected hours; ","")&amp;IF($O39="Yes","Expenses over budget; ","")&amp;IF($P39="Yes","Margin too low; ","")&amp;IF($Q39="Yes","Payment overdue; ","")&amp;IF($R39="Yes","Scope creep; ","")&amp;IF($S39="No","Compliance unclear; ","")&amp;IF($T39="No","Manufacturing handover unclear; ",""))=0,"None — healthy",LEFT(IF($D39="No","Scope undefined; ","")&amp;IF($E39="No","Brief unclear; ","")&amp;IF($F39="No","Contract not signed; ","")&amp;IF($G39="No","Deposit unpaid; ","")&amp;IF($I39="No","Ownership not agreed; ","")&amp;IF($J39="No","Deadline unrealistic; ","")&amp;IF($K39="No","Slow client response; ","")&amp;IF($L39="Yes","Brief keeps changing; ","")&amp;IF($M39="Yes","Extra work requested; ","")&amp;IF($N39="Yes","Exceeding expected hours; ","")&amp;IF($O39="Yes","Expenses over budget; ","")&amp;IF($P39="Yes","Margin too low; ","")&amp;IF($Q39="Yes","Payment overdue; ","")&amp;IF($R39="Yes","Scope creep; ","")&amp;IF($S39="No","Compliance unclear; ","")&amp;IF($T39="No","Manufacturing handover unclear; ",""),LEN(IF($D39="No","Scope undefined; ","")&amp;IF($E39="No","Brief unclear; ","")&amp;IF($F39="No","Contract not signed; ","")&amp;IF($G39="No","Deposit unpaid; ","")&amp;IF($I39="No","Ownership not agreed; ","")&amp;IF($J39="No","Deadline unrealistic; ","")&amp;IF($K39="No","Slow client response; ","")&amp;IF($L39="Yes","Brief keeps changing; ","")&amp;IF($M39="Yes","Extra work requested; ","")&amp;IF($N39="Yes","Exceeding expected hours; ","")&amp;IF($O39="Yes","Expenses over budget; ","")&amp;IF($P39="Yes","Margin too low; ","")&amp;IF($Q39="Yes","Payment overdue; ","")&amp;IF($R39="Yes","Scope creep; ","")&amp;IF($S39="No","Compliance unclear; ","")&amp;IF($T39="No","Manufacturing handover unclear; ",""))-2)))</f>
        <v/>
      </c>
      <c r="W39" s="39" t="str">
        <f aca="false">IF($A39="","",IFERROR(INDEX('Fragrance Projects'!$B$5:$B$64,MATCH($A39,'Fragrance Projects'!$A$5:$A$64,0)),""))</f>
        <v/>
      </c>
      <c r="X39" s="39" t="str">
        <f aca="false">IF($A39="","",IFERROR(INDEX('Project Financials'!$U$5:$U$64,MATCH($A39,'Project Financials'!$A$5:$A$64,0)),""))</f>
        <v/>
      </c>
      <c r="Y39" s="39" t="str">
        <f aca="false">IF($A39="","",IFERROR(INDEX('Project Financials'!$D$5:$D$64,MATCH($A39,'Project Financials'!$A$5:$A$64,0)),""))</f>
        <v/>
      </c>
      <c r="Z39" s="39" t="str">
        <f aca="false">IF($A39="","",IFERROR(INDEX('Project Financials'!$AC$5:$AC$64,MATCH($A39,'Project Financials'!$A$5:$A$64,0)),""))</f>
        <v/>
      </c>
      <c r="AA39" s="39" t="str">
        <f aca="false">IF($A39="","",IFERROR(INDEX(Payments!$N$5:$N$64,MATCH($A39,Payments!$B$5:$B$64,0)),""))</f>
        <v/>
      </c>
    </row>
    <row r="40" customFormat="false" ht="21.75" hidden="false" customHeight="true" outlineLevel="0" collapsed="false">
      <c r="A40" s="30"/>
      <c r="B40" s="20" t="str">
        <f aca="false">IF($A40="","",IFERROR(INDEX('Fragrance Projects'!$C$5:$C$64,MATCH($A40,'Fragrance Projects'!$A$5:$A$64,0)),""))</f>
        <v/>
      </c>
      <c r="C40" s="20" t="str">
        <f aca="false">IF($A40="","",IFERROR(INDEX('Fragrance Projects'!$D$5:$D$64,MATCH($A40,'Fragrance Projects'!$A$5:$A$64,0)),""))</f>
        <v/>
      </c>
      <c r="D40" s="30"/>
      <c r="E40" s="30"/>
      <c r="F40" s="20" t="str">
        <f aca="false">IF($A40="","",IFERROR(INDEX(Clients!$R$5:$R$44,MATCH($W40,Clients!$A$5:$A$44,0)),""))</f>
        <v/>
      </c>
      <c r="G40" s="20" t="str">
        <f aca="false">IF($A40="","",IF(IFERROR(INDEX(Payments!$G$5:$G$64,MATCH($A40,Payments!$B$5:$B$64,0)),0)&gt;0,"Yes","No"))</f>
        <v/>
      </c>
      <c r="H40" s="20" t="str">
        <f aca="false">IF($A40="","",IFERROR(INDEX('Fragrance Projects'!$L$5:$L$64,MATCH($A40,'Fragrance Projects'!$A$5:$A$64,0)),""))</f>
        <v/>
      </c>
      <c r="I40" s="20" t="str">
        <f aca="false">IF($A40="","",IF(AND(IFERROR(INDEX(Clients!$T$5:$T$44,MATCH($W40,Clients!$A$5:$A$44,0)),"")&lt;&gt;"",IFERROR(INDEX(Clients!$T$5:$T$44,MATCH($W40,Clients!$A$5:$A$44,0)),"")&lt;&gt;"Not Yet Agreed"),"Yes","No"))</f>
        <v/>
      </c>
      <c r="J40" s="30"/>
      <c r="K40" s="30"/>
      <c r="L40" s="30"/>
      <c r="M40" s="30"/>
      <c r="N40" s="30"/>
      <c r="O40" s="20" t="str">
        <f aca="false">IF($A40="","",IF(AND($Y40&lt;&gt;"",$Y40&gt;0,$X40&gt;0.4*$Y40),"Yes","No"))</f>
        <v/>
      </c>
      <c r="P40" s="20" t="str">
        <f aca="false">IF($A40="","",IF(AND($Z40&lt;&gt;"",$Z40&lt;0.15),"Yes","No"))</f>
        <v/>
      </c>
      <c r="Q40" s="20" t="str">
        <f aca="false">IF($A40="","",IF($AA40="Overdue","Yes","No"))</f>
        <v/>
      </c>
      <c r="R40" s="30"/>
      <c r="S40" s="30"/>
      <c r="T40" s="30"/>
      <c r="U40" s="20" t="str">
        <f aca="false">IF($A40="","",_xlfn.IFS((IF($D40="No",1,0)+IF($E40="No",1,0)+IF($F40="No",1,0)+IF($G40="No",1,0)+IF($I40="No",1,0)+IF($J40="No",1,0)+IF($K40="No",1,0)+IF($L40="Yes",1,0)+IF($M40="Yes",1,0)+IF($N40="Yes",1,0)+IF($O40="Yes",1,0)+IF($P40="Yes",1,0)+IF($Q40="Yes",1,0)+IF($R40="Yes",1,0)+IF($S40="No",1,0)+IF($T40="No",1,0))&lt;=2,"LOW",(IF($D40="No",1,0)+IF($E40="No",1,0)+IF($F40="No",1,0)+IF($G40="No",1,0)+IF($I40="No",1,0)+IF($J40="No",1,0)+IF($K40="No",1,0)+IF($L40="Yes",1,0)+IF($M40="Yes",1,0)+IF($N40="Yes",1,0)+IF($O40="Yes",1,0)+IF($P40="Yes",1,0)+IF($Q40="Yes",1,0)+IF($R40="Yes",1,0)+IF($S40="No",1,0)+IF($T40="No",1,0))&lt;=5,"MEDIUM",TRUE(),"HIGH"))</f>
        <v/>
      </c>
      <c r="V40" s="19" t="str">
        <f aca="false">IF($A40="","",IF(LEN(IF($D40="No","Scope undefined; ","")&amp;IF($E40="No","Brief unclear; ","")&amp;IF($F40="No","Contract not signed; ","")&amp;IF($G40="No","Deposit unpaid; ","")&amp;IF($I40="No","Ownership not agreed; ","")&amp;IF($J40="No","Deadline unrealistic; ","")&amp;IF($K40="No","Slow client response; ","")&amp;IF($L40="Yes","Brief keeps changing; ","")&amp;IF($M40="Yes","Extra work requested; ","")&amp;IF($N40="Yes","Exceeding expected hours; ","")&amp;IF($O40="Yes","Expenses over budget; ","")&amp;IF($P40="Yes","Margin too low; ","")&amp;IF($Q40="Yes","Payment overdue; ","")&amp;IF($R40="Yes","Scope creep; ","")&amp;IF($S40="No","Compliance unclear; ","")&amp;IF($T40="No","Manufacturing handover unclear; ",""))=0,"None — healthy",LEFT(IF($D40="No","Scope undefined; ","")&amp;IF($E40="No","Brief unclear; ","")&amp;IF($F40="No","Contract not signed; ","")&amp;IF($G40="No","Deposit unpaid; ","")&amp;IF($I40="No","Ownership not agreed; ","")&amp;IF($J40="No","Deadline unrealistic; ","")&amp;IF($K40="No","Slow client response; ","")&amp;IF($L40="Yes","Brief keeps changing; ","")&amp;IF($M40="Yes","Extra work requested; ","")&amp;IF($N40="Yes","Exceeding expected hours; ","")&amp;IF($O40="Yes","Expenses over budget; ","")&amp;IF($P40="Yes","Margin too low; ","")&amp;IF($Q40="Yes","Payment overdue; ","")&amp;IF($R40="Yes","Scope creep; ","")&amp;IF($S40="No","Compliance unclear; ","")&amp;IF($T40="No","Manufacturing handover unclear; ",""),LEN(IF($D40="No","Scope undefined; ","")&amp;IF($E40="No","Brief unclear; ","")&amp;IF($F40="No","Contract not signed; ","")&amp;IF($G40="No","Deposit unpaid; ","")&amp;IF($I40="No","Ownership not agreed; ","")&amp;IF($J40="No","Deadline unrealistic; ","")&amp;IF($K40="No","Slow client response; ","")&amp;IF($L40="Yes","Brief keeps changing; ","")&amp;IF($M40="Yes","Extra work requested; ","")&amp;IF($N40="Yes","Exceeding expected hours; ","")&amp;IF($O40="Yes","Expenses over budget; ","")&amp;IF($P40="Yes","Margin too low; ","")&amp;IF($Q40="Yes","Payment overdue; ","")&amp;IF($R40="Yes","Scope creep; ","")&amp;IF($S40="No","Compliance unclear; ","")&amp;IF($T40="No","Manufacturing handover unclear; ",""))-2)))</f>
        <v/>
      </c>
      <c r="W40" s="39" t="str">
        <f aca="false">IF($A40="","",IFERROR(INDEX('Fragrance Projects'!$B$5:$B$64,MATCH($A40,'Fragrance Projects'!$A$5:$A$64,0)),""))</f>
        <v/>
      </c>
      <c r="X40" s="39" t="str">
        <f aca="false">IF($A40="","",IFERROR(INDEX('Project Financials'!$U$5:$U$64,MATCH($A40,'Project Financials'!$A$5:$A$64,0)),""))</f>
        <v/>
      </c>
      <c r="Y40" s="39" t="str">
        <f aca="false">IF($A40="","",IFERROR(INDEX('Project Financials'!$D$5:$D$64,MATCH($A40,'Project Financials'!$A$5:$A$64,0)),""))</f>
        <v/>
      </c>
      <c r="Z40" s="39" t="str">
        <f aca="false">IF($A40="","",IFERROR(INDEX('Project Financials'!$AC$5:$AC$64,MATCH($A40,'Project Financials'!$A$5:$A$64,0)),""))</f>
        <v/>
      </c>
      <c r="AA40" s="39" t="str">
        <f aca="false">IF($A40="","",IFERROR(INDEX(Payments!$N$5:$N$64,MATCH($A40,Payments!$B$5:$B$64,0)),""))</f>
        <v/>
      </c>
    </row>
    <row r="41" customFormat="false" ht="21.75" hidden="false" customHeight="true" outlineLevel="0" collapsed="false">
      <c r="A41" s="30"/>
      <c r="B41" s="20" t="str">
        <f aca="false">IF($A41="","",IFERROR(INDEX('Fragrance Projects'!$C$5:$C$64,MATCH($A41,'Fragrance Projects'!$A$5:$A$64,0)),""))</f>
        <v/>
      </c>
      <c r="C41" s="20" t="str">
        <f aca="false">IF($A41="","",IFERROR(INDEX('Fragrance Projects'!$D$5:$D$64,MATCH($A41,'Fragrance Projects'!$A$5:$A$64,0)),""))</f>
        <v/>
      </c>
      <c r="D41" s="30"/>
      <c r="E41" s="30"/>
      <c r="F41" s="20" t="str">
        <f aca="false">IF($A41="","",IFERROR(INDEX(Clients!$R$5:$R$44,MATCH($W41,Clients!$A$5:$A$44,0)),""))</f>
        <v/>
      </c>
      <c r="G41" s="20" t="str">
        <f aca="false">IF($A41="","",IF(IFERROR(INDEX(Payments!$G$5:$G$64,MATCH($A41,Payments!$B$5:$B$64,0)),0)&gt;0,"Yes","No"))</f>
        <v/>
      </c>
      <c r="H41" s="20" t="str">
        <f aca="false">IF($A41="","",IFERROR(INDEX('Fragrance Projects'!$L$5:$L$64,MATCH($A41,'Fragrance Projects'!$A$5:$A$64,0)),""))</f>
        <v/>
      </c>
      <c r="I41" s="20" t="str">
        <f aca="false">IF($A41="","",IF(AND(IFERROR(INDEX(Clients!$T$5:$T$44,MATCH($W41,Clients!$A$5:$A$44,0)),"")&lt;&gt;"",IFERROR(INDEX(Clients!$T$5:$T$44,MATCH($W41,Clients!$A$5:$A$44,0)),"")&lt;&gt;"Not Yet Agreed"),"Yes","No"))</f>
        <v/>
      </c>
      <c r="J41" s="30"/>
      <c r="K41" s="30"/>
      <c r="L41" s="30"/>
      <c r="M41" s="30"/>
      <c r="N41" s="30"/>
      <c r="O41" s="20" t="str">
        <f aca="false">IF($A41="","",IF(AND($Y41&lt;&gt;"",$Y41&gt;0,$X41&gt;0.4*$Y41),"Yes","No"))</f>
        <v/>
      </c>
      <c r="P41" s="20" t="str">
        <f aca="false">IF($A41="","",IF(AND($Z41&lt;&gt;"",$Z41&lt;0.15),"Yes","No"))</f>
        <v/>
      </c>
      <c r="Q41" s="20" t="str">
        <f aca="false">IF($A41="","",IF($AA41="Overdue","Yes","No"))</f>
        <v/>
      </c>
      <c r="R41" s="30"/>
      <c r="S41" s="30"/>
      <c r="T41" s="30"/>
      <c r="U41" s="20" t="str">
        <f aca="false">IF($A41="","",_xlfn.IFS((IF($D41="No",1,0)+IF($E41="No",1,0)+IF($F41="No",1,0)+IF($G41="No",1,0)+IF($I41="No",1,0)+IF($J41="No",1,0)+IF($K41="No",1,0)+IF($L41="Yes",1,0)+IF($M41="Yes",1,0)+IF($N41="Yes",1,0)+IF($O41="Yes",1,0)+IF($P41="Yes",1,0)+IF($Q41="Yes",1,0)+IF($R41="Yes",1,0)+IF($S41="No",1,0)+IF($T41="No",1,0))&lt;=2,"LOW",(IF($D41="No",1,0)+IF($E41="No",1,0)+IF($F41="No",1,0)+IF($G41="No",1,0)+IF($I41="No",1,0)+IF($J41="No",1,0)+IF($K41="No",1,0)+IF($L41="Yes",1,0)+IF($M41="Yes",1,0)+IF($N41="Yes",1,0)+IF($O41="Yes",1,0)+IF($P41="Yes",1,0)+IF($Q41="Yes",1,0)+IF($R41="Yes",1,0)+IF($S41="No",1,0)+IF($T41="No",1,0))&lt;=5,"MEDIUM",TRUE(),"HIGH"))</f>
        <v/>
      </c>
      <c r="V41" s="19" t="str">
        <f aca="false">IF($A41="","",IF(LEN(IF($D41="No","Scope undefined; ","")&amp;IF($E41="No","Brief unclear; ","")&amp;IF($F41="No","Contract not signed; ","")&amp;IF($G41="No","Deposit unpaid; ","")&amp;IF($I41="No","Ownership not agreed; ","")&amp;IF($J41="No","Deadline unrealistic; ","")&amp;IF($K41="No","Slow client response; ","")&amp;IF($L41="Yes","Brief keeps changing; ","")&amp;IF($M41="Yes","Extra work requested; ","")&amp;IF($N41="Yes","Exceeding expected hours; ","")&amp;IF($O41="Yes","Expenses over budget; ","")&amp;IF($P41="Yes","Margin too low; ","")&amp;IF($Q41="Yes","Payment overdue; ","")&amp;IF($R41="Yes","Scope creep; ","")&amp;IF($S41="No","Compliance unclear; ","")&amp;IF($T41="No","Manufacturing handover unclear; ",""))=0,"None — healthy",LEFT(IF($D41="No","Scope undefined; ","")&amp;IF($E41="No","Brief unclear; ","")&amp;IF($F41="No","Contract not signed; ","")&amp;IF($G41="No","Deposit unpaid; ","")&amp;IF($I41="No","Ownership not agreed; ","")&amp;IF($J41="No","Deadline unrealistic; ","")&amp;IF($K41="No","Slow client response; ","")&amp;IF($L41="Yes","Brief keeps changing; ","")&amp;IF($M41="Yes","Extra work requested; ","")&amp;IF($N41="Yes","Exceeding expected hours; ","")&amp;IF($O41="Yes","Expenses over budget; ","")&amp;IF($P41="Yes","Margin too low; ","")&amp;IF($Q41="Yes","Payment overdue; ","")&amp;IF($R41="Yes","Scope creep; ","")&amp;IF($S41="No","Compliance unclear; ","")&amp;IF($T41="No","Manufacturing handover unclear; ",""),LEN(IF($D41="No","Scope undefined; ","")&amp;IF($E41="No","Brief unclear; ","")&amp;IF($F41="No","Contract not signed; ","")&amp;IF($G41="No","Deposit unpaid; ","")&amp;IF($I41="No","Ownership not agreed; ","")&amp;IF($J41="No","Deadline unrealistic; ","")&amp;IF($K41="No","Slow client response; ","")&amp;IF($L41="Yes","Brief keeps changing; ","")&amp;IF($M41="Yes","Extra work requested; ","")&amp;IF($N41="Yes","Exceeding expected hours; ","")&amp;IF($O41="Yes","Expenses over budget; ","")&amp;IF($P41="Yes","Margin too low; ","")&amp;IF($Q41="Yes","Payment overdue; ","")&amp;IF($R41="Yes","Scope creep; ","")&amp;IF($S41="No","Compliance unclear; ","")&amp;IF($T41="No","Manufacturing handover unclear; ",""))-2)))</f>
        <v/>
      </c>
      <c r="W41" s="39" t="str">
        <f aca="false">IF($A41="","",IFERROR(INDEX('Fragrance Projects'!$B$5:$B$64,MATCH($A41,'Fragrance Projects'!$A$5:$A$64,0)),""))</f>
        <v/>
      </c>
      <c r="X41" s="39" t="str">
        <f aca="false">IF($A41="","",IFERROR(INDEX('Project Financials'!$U$5:$U$64,MATCH($A41,'Project Financials'!$A$5:$A$64,0)),""))</f>
        <v/>
      </c>
      <c r="Y41" s="39" t="str">
        <f aca="false">IF($A41="","",IFERROR(INDEX('Project Financials'!$D$5:$D$64,MATCH($A41,'Project Financials'!$A$5:$A$64,0)),""))</f>
        <v/>
      </c>
      <c r="Z41" s="39" t="str">
        <f aca="false">IF($A41="","",IFERROR(INDEX('Project Financials'!$AC$5:$AC$64,MATCH($A41,'Project Financials'!$A$5:$A$64,0)),""))</f>
        <v/>
      </c>
      <c r="AA41" s="39" t="str">
        <f aca="false">IF($A41="","",IFERROR(INDEX(Payments!$N$5:$N$64,MATCH($A41,Payments!$B$5:$B$64,0)),""))</f>
        <v/>
      </c>
    </row>
    <row r="42" customFormat="false" ht="21.75" hidden="false" customHeight="true" outlineLevel="0" collapsed="false">
      <c r="A42" s="30"/>
      <c r="B42" s="20" t="str">
        <f aca="false">IF($A42="","",IFERROR(INDEX('Fragrance Projects'!$C$5:$C$64,MATCH($A42,'Fragrance Projects'!$A$5:$A$64,0)),""))</f>
        <v/>
      </c>
      <c r="C42" s="20" t="str">
        <f aca="false">IF($A42="","",IFERROR(INDEX('Fragrance Projects'!$D$5:$D$64,MATCH($A42,'Fragrance Projects'!$A$5:$A$64,0)),""))</f>
        <v/>
      </c>
      <c r="D42" s="30"/>
      <c r="E42" s="30"/>
      <c r="F42" s="20" t="str">
        <f aca="false">IF($A42="","",IFERROR(INDEX(Clients!$R$5:$R$44,MATCH($W42,Clients!$A$5:$A$44,0)),""))</f>
        <v/>
      </c>
      <c r="G42" s="20" t="str">
        <f aca="false">IF($A42="","",IF(IFERROR(INDEX(Payments!$G$5:$G$64,MATCH($A42,Payments!$B$5:$B$64,0)),0)&gt;0,"Yes","No"))</f>
        <v/>
      </c>
      <c r="H42" s="20" t="str">
        <f aca="false">IF($A42="","",IFERROR(INDEX('Fragrance Projects'!$L$5:$L$64,MATCH($A42,'Fragrance Projects'!$A$5:$A$64,0)),""))</f>
        <v/>
      </c>
      <c r="I42" s="20" t="str">
        <f aca="false">IF($A42="","",IF(AND(IFERROR(INDEX(Clients!$T$5:$T$44,MATCH($W42,Clients!$A$5:$A$44,0)),"")&lt;&gt;"",IFERROR(INDEX(Clients!$T$5:$T$44,MATCH($W42,Clients!$A$5:$A$44,0)),"")&lt;&gt;"Not Yet Agreed"),"Yes","No"))</f>
        <v/>
      </c>
      <c r="J42" s="30"/>
      <c r="K42" s="30"/>
      <c r="L42" s="30"/>
      <c r="M42" s="30"/>
      <c r="N42" s="30"/>
      <c r="O42" s="20" t="str">
        <f aca="false">IF($A42="","",IF(AND($Y42&lt;&gt;"",$Y42&gt;0,$X42&gt;0.4*$Y42),"Yes","No"))</f>
        <v/>
      </c>
      <c r="P42" s="20" t="str">
        <f aca="false">IF($A42="","",IF(AND($Z42&lt;&gt;"",$Z42&lt;0.15),"Yes","No"))</f>
        <v/>
      </c>
      <c r="Q42" s="20" t="str">
        <f aca="false">IF($A42="","",IF($AA42="Overdue","Yes","No"))</f>
        <v/>
      </c>
      <c r="R42" s="30"/>
      <c r="S42" s="30"/>
      <c r="T42" s="30"/>
      <c r="U42" s="20" t="str">
        <f aca="false">IF($A42="","",_xlfn.IFS((IF($D42="No",1,0)+IF($E42="No",1,0)+IF($F42="No",1,0)+IF($G42="No",1,0)+IF($I42="No",1,0)+IF($J42="No",1,0)+IF($K42="No",1,0)+IF($L42="Yes",1,0)+IF($M42="Yes",1,0)+IF($N42="Yes",1,0)+IF($O42="Yes",1,0)+IF($P42="Yes",1,0)+IF($Q42="Yes",1,0)+IF($R42="Yes",1,0)+IF($S42="No",1,0)+IF($T42="No",1,0))&lt;=2,"LOW",(IF($D42="No",1,0)+IF($E42="No",1,0)+IF($F42="No",1,0)+IF($G42="No",1,0)+IF($I42="No",1,0)+IF($J42="No",1,0)+IF($K42="No",1,0)+IF($L42="Yes",1,0)+IF($M42="Yes",1,0)+IF($N42="Yes",1,0)+IF($O42="Yes",1,0)+IF($P42="Yes",1,0)+IF($Q42="Yes",1,0)+IF($R42="Yes",1,0)+IF($S42="No",1,0)+IF($T42="No",1,0))&lt;=5,"MEDIUM",TRUE(),"HIGH"))</f>
        <v/>
      </c>
      <c r="V42" s="19" t="str">
        <f aca="false">IF($A42="","",IF(LEN(IF($D42="No","Scope undefined; ","")&amp;IF($E42="No","Brief unclear; ","")&amp;IF($F42="No","Contract not signed; ","")&amp;IF($G42="No","Deposit unpaid; ","")&amp;IF($I42="No","Ownership not agreed; ","")&amp;IF($J42="No","Deadline unrealistic; ","")&amp;IF($K42="No","Slow client response; ","")&amp;IF($L42="Yes","Brief keeps changing; ","")&amp;IF($M42="Yes","Extra work requested; ","")&amp;IF($N42="Yes","Exceeding expected hours; ","")&amp;IF($O42="Yes","Expenses over budget; ","")&amp;IF($P42="Yes","Margin too low; ","")&amp;IF($Q42="Yes","Payment overdue; ","")&amp;IF($R42="Yes","Scope creep; ","")&amp;IF($S42="No","Compliance unclear; ","")&amp;IF($T42="No","Manufacturing handover unclear; ",""))=0,"None — healthy",LEFT(IF($D42="No","Scope undefined; ","")&amp;IF($E42="No","Brief unclear; ","")&amp;IF($F42="No","Contract not signed; ","")&amp;IF($G42="No","Deposit unpaid; ","")&amp;IF($I42="No","Ownership not agreed; ","")&amp;IF($J42="No","Deadline unrealistic; ","")&amp;IF($K42="No","Slow client response; ","")&amp;IF($L42="Yes","Brief keeps changing; ","")&amp;IF($M42="Yes","Extra work requested; ","")&amp;IF($N42="Yes","Exceeding expected hours; ","")&amp;IF($O42="Yes","Expenses over budget; ","")&amp;IF($P42="Yes","Margin too low; ","")&amp;IF($Q42="Yes","Payment overdue; ","")&amp;IF($R42="Yes","Scope creep; ","")&amp;IF($S42="No","Compliance unclear; ","")&amp;IF($T42="No","Manufacturing handover unclear; ",""),LEN(IF($D42="No","Scope undefined; ","")&amp;IF($E42="No","Brief unclear; ","")&amp;IF($F42="No","Contract not signed; ","")&amp;IF($G42="No","Deposit unpaid; ","")&amp;IF($I42="No","Ownership not agreed; ","")&amp;IF($J42="No","Deadline unrealistic; ","")&amp;IF($K42="No","Slow client response; ","")&amp;IF($L42="Yes","Brief keeps changing; ","")&amp;IF($M42="Yes","Extra work requested; ","")&amp;IF($N42="Yes","Exceeding expected hours; ","")&amp;IF($O42="Yes","Expenses over budget; ","")&amp;IF($P42="Yes","Margin too low; ","")&amp;IF($Q42="Yes","Payment overdue; ","")&amp;IF($R42="Yes","Scope creep; ","")&amp;IF($S42="No","Compliance unclear; ","")&amp;IF($T42="No","Manufacturing handover unclear; ",""))-2)))</f>
        <v/>
      </c>
      <c r="W42" s="39" t="str">
        <f aca="false">IF($A42="","",IFERROR(INDEX('Fragrance Projects'!$B$5:$B$64,MATCH($A42,'Fragrance Projects'!$A$5:$A$64,0)),""))</f>
        <v/>
      </c>
      <c r="X42" s="39" t="str">
        <f aca="false">IF($A42="","",IFERROR(INDEX('Project Financials'!$U$5:$U$64,MATCH($A42,'Project Financials'!$A$5:$A$64,0)),""))</f>
        <v/>
      </c>
      <c r="Y42" s="39" t="str">
        <f aca="false">IF($A42="","",IFERROR(INDEX('Project Financials'!$D$5:$D$64,MATCH($A42,'Project Financials'!$A$5:$A$64,0)),""))</f>
        <v/>
      </c>
      <c r="Z42" s="39" t="str">
        <f aca="false">IF($A42="","",IFERROR(INDEX('Project Financials'!$AC$5:$AC$64,MATCH($A42,'Project Financials'!$A$5:$A$64,0)),""))</f>
        <v/>
      </c>
      <c r="AA42" s="39" t="str">
        <f aca="false">IF($A42="","",IFERROR(INDEX(Payments!$N$5:$N$64,MATCH($A42,Payments!$B$5:$B$64,0)),""))</f>
        <v/>
      </c>
    </row>
    <row r="43" customFormat="false" ht="21.75" hidden="false" customHeight="true" outlineLevel="0" collapsed="false">
      <c r="A43" s="30"/>
      <c r="B43" s="20" t="str">
        <f aca="false">IF($A43="","",IFERROR(INDEX('Fragrance Projects'!$C$5:$C$64,MATCH($A43,'Fragrance Projects'!$A$5:$A$64,0)),""))</f>
        <v/>
      </c>
      <c r="C43" s="20" t="str">
        <f aca="false">IF($A43="","",IFERROR(INDEX('Fragrance Projects'!$D$5:$D$64,MATCH($A43,'Fragrance Projects'!$A$5:$A$64,0)),""))</f>
        <v/>
      </c>
      <c r="D43" s="30"/>
      <c r="E43" s="30"/>
      <c r="F43" s="20" t="str">
        <f aca="false">IF($A43="","",IFERROR(INDEX(Clients!$R$5:$R$44,MATCH($W43,Clients!$A$5:$A$44,0)),""))</f>
        <v/>
      </c>
      <c r="G43" s="20" t="str">
        <f aca="false">IF($A43="","",IF(IFERROR(INDEX(Payments!$G$5:$G$64,MATCH($A43,Payments!$B$5:$B$64,0)),0)&gt;0,"Yes","No"))</f>
        <v/>
      </c>
      <c r="H43" s="20" t="str">
        <f aca="false">IF($A43="","",IFERROR(INDEX('Fragrance Projects'!$L$5:$L$64,MATCH($A43,'Fragrance Projects'!$A$5:$A$64,0)),""))</f>
        <v/>
      </c>
      <c r="I43" s="20" t="str">
        <f aca="false">IF($A43="","",IF(AND(IFERROR(INDEX(Clients!$T$5:$T$44,MATCH($W43,Clients!$A$5:$A$44,0)),"")&lt;&gt;"",IFERROR(INDEX(Clients!$T$5:$T$44,MATCH($W43,Clients!$A$5:$A$44,0)),"")&lt;&gt;"Not Yet Agreed"),"Yes","No"))</f>
        <v/>
      </c>
      <c r="J43" s="30"/>
      <c r="K43" s="30"/>
      <c r="L43" s="30"/>
      <c r="M43" s="30"/>
      <c r="N43" s="30"/>
      <c r="O43" s="20" t="str">
        <f aca="false">IF($A43="","",IF(AND($Y43&lt;&gt;"",$Y43&gt;0,$X43&gt;0.4*$Y43),"Yes","No"))</f>
        <v/>
      </c>
      <c r="P43" s="20" t="str">
        <f aca="false">IF($A43="","",IF(AND($Z43&lt;&gt;"",$Z43&lt;0.15),"Yes","No"))</f>
        <v/>
      </c>
      <c r="Q43" s="20" t="str">
        <f aca="false">IF($A43="","",IF($AA43="Overdue","Yes","No"))</f>
        <v/>
      </c>
      <c r="R43" s="30"/>
      <c r="S43" s="30"/>
      <c r="T43" s="30"/>
      <c r="U43" s="20" t="str">
        <f aca="false">IF($A43="","",_xlfn.IFS((IF($D43="No",1,0)+IF($E43="No",1,0)+IF($F43="No",1,0)+IF($G43="No",1,0)+IF($I43="No",1,0)+IF($J43="No",1,0)+IF($K43="No",1,0)+IF($L43="Yes",1,0)+IF($M43="Yes",1,0)+IF($N43="Yes",1,0)+IF($O43="Yes",1,0)+IF($P43="Yes",1,0)+IF($Q43="Yes",1,0)+IF($R43="Yes",1,0)+IF($S43="No",1,0)+IF($T43="No",1,0))&lt;=2,"LOW",(IF($D43="No",1,0)+IF($E43="No",1,0)+IF($F43="No",1,0)+IF($G43="No",1,0)+IF($I43="No",1,0)+IF($J43="No",1,0)+IF($K43="No",1,0)+IF($L43="Yes",1,0)+IF($M43="Yes",1,0)+IF($N43="Yes",1,0)+IF($O43="Yes",1,0)+IF($P43="Yes",1,0)+IF($Q43="Yes",1,0)+IF($R43="Yes",1,0)+IF($S43="No",1,0)+IF($T43="No",1,0))&lt;=5,"MEDIUM",TRUE(),"HIGH"))</f>
        <v/>
      </c>
      <c r="V43" s="19" t="str">
        <f aca="false">IF($A43="","",IF(LEN(IF($D43="No","Scope undefined; ","")&amp;IF($E43="No","Brief unclear; ","")&amp;IF($F43="No","Contract not signed; ","")&amp;IF($G43="No","Deposit unpaid; ","")&amp;IF($I43="No","Ownership not agreed; ","")&amp;IF($J43="No","Deadline unrealistic; ","")&amp;IF($K43="No","Slow client response; ","")&amp;IF($L43="Yes","Brief keeps changing; ","")&amp;IF($M43="Yes","Extra work requested; ","")&amp;IF($N43="Yes","Exceeding expected hours; ","")&amp;IF($O43="Yes","Expenses over budget; ","")&amp;IF($P43="Yes","Margin too low; ","")&amp;IF($Q43="Yes","Payment overdue; ","")&amp;IF($R43="Yes","Scope creep; ","")&amp;IF($S43="No","Compliance unclear; ","")&amp;IF($T43="No","Manufacturing handover unclear; ",""))=0,"None — healthy",LEFT(IF($D43="No","Scope undefined; ","")&amp;IF($E43="No","Brief unclear; ","")&amp;IF($F43="No","Contract not signed; ","")&amp;IF($G43="No","Deposit unpaid; ","")&amp;IF($I43="No","Ownership not agreed; ","")&amp;IF($J43="No","Deadline unrealistic; ","")&amp;IF($K43="No","Slow client response; ","")&amp;IF($L43="Yes","Brief keeps changing; ","")&amp;IF($M43="Yes","Extra work requested; ","")&amp;IF($N43="Yes","Exceeding expected hours; ","")&amp;IF($O43="Yes","Expenses over budget; ","")&amp;IF($P43="Yes","Margin too low; ","")&amp;IF($Q43="Yes","Payment overdue; ","")&amp;IF($R43="Yes","Scope creep; ","")&amp;IF($S43="No","Compliance unclear; ","")&amp;IF($T43="No","Manufacturing handover unclear; ",""),LEN(IF($D43="No","Scope undefined; ","")&amp;IF($E43="No","Brief unclear; ","")&amp;IF($F43="No","Contract not signed; ","")&amp;IF($G43="No","Deposit unpaid; ","")&amp;IF($I43="No","Ownership not agreed; ","")&amp;IF($J43="No","Deadline unrealistic; ","")&amp;IF($K43="No","Slow client response; ","")&amp;IF($L43="Yes","Brief keeps changing; ","")&amp;IF($M43="Yes","Extra work requested; ","")&amp;IF($N43="Yes","Exceeding expected hours; ","")&amp;IF($O43="Yes","Expenses over budget; ","")&amp;IF($P43="Yes","Margin too low; ","")&amp;IF($Q43="Yes","Payment overdue; ","")&amp;IF($R43="Yes","Scope creep; ","")&amp;IF($S43="No","Compliance unclear; ","")&amp;IF($T43="No","Manufacturing handover unclear; ",""))-2)))</f>
        <v/>
      </c>
      <c r="W43" s="39" t="str">
        <f aca="false">IF($A43="","",IFERROR(INDEX('Fragrance Projects'!$B$5:$B$64,MATCH($A43,'Fragrance Projects'!$A$5:$A$64,0)),""))</f>
        <v/>
      </c>
      <c r="X43" s="39" t="str">
        <f aca="false">IF($A43="","",IFERROR(INDEX('Project Financials'!$U$5:$U$64,MATCH($A43,'Project Financials'!$A$5:$A$64,0)),""))</f>
        <v/>
      </c>
      <c r="Y43" s="39" t="str">
        <f aca="false">IF($A43="","",IFERROR(INDEX('Project Financials'!$D$5:$D$64,MATCH($A43,'Project Financials'!$A$5:$A$64,0)),""))</f>
        <v/>
      </c>
      <c r="Z43" s="39" t="str">
        <f aca="false">IF($A43="","",IFERROR(INDEX('Project Financials'!$AC$5:$AC$64,MATCH($A43,'Project Financials'!$A$5:$A$64,0)),""))</f>
        <v/>
      </c>
      <c r="AA43" s="39" t="str">
        <f aca="false">IF($A43="","",IFERROR(INDEX(Payments!$N$5:$N$64,MATCH($A43,Payments!$B$5:$B$64,0)),""))</f>
        <v/>
      </c>
    </row>
    <row r="44" customFormat="false" ht="21.75" hidden="false" customHeight="true" outlineLevel="0" collapsed="false">
      <c r="A44" s="30"/>
      <c r="B44" s="20" t="str">
        <f aca="false">IF($A44="","",IFERROR(INDEX('Fragrance Projects'!$C$5:$C$64,MATCH($A44,'Fragrance Projects'!$A$5:$A$64,0)),""))</f>
        <v/>
      </c>
      <c r="C44" s="20" t="str">
        <f aca="false">IF($A44="","",IFERROR(INDEX('Fragrance Projects'!$D$5:$D$64,MATCH($A44,'Fragrance Projects'!$A$5:$A$64,0)),""))</f>
        <v/>
      </c>
      <c r="D44" s="30"/>
      <c r="E44" s="30"/>
      <c r="F44" s="20" t="str">
        <f aca="false">IF($A44="","",IFERROR(INDEX(Clients!$R$5:$R$44,MATCH($W44,Clients!$A$5:$A$44,0)),""))</f>
        <v/>
      </c>
      <c r="G44" s="20" t="str">
        <f aca="false">IF($A44="","",IF(IFERROR(INDEX(Payments!$G$5:$G$64,MATCH($A44,Payments!$B$5:$B$64,0)),0)&gt;0,"Yes","No"))</f>
        <v/>
      </c>
      <c r="H44" s="20" t="str">
        <f aca="false">IF($A44="","",IFERROR(INDEX('Fragrance Projects'!$L$5:$L$64,MATCH($A44,'Fragrance Projects'!$A$5:$A$64,0)),""))</f>
        <v/>
      </c>
      <c r="I44" s="20" t="str">
        <f aca="false">IF($A44="","",IF(AND(IFERROR(INDEX(Clients!$T$5:$T$44,MATCH($W44,Clients!$A$5:$A$44,0)),"")&lt;&gt;"",IFERROR(INDEX(Clients!$T$5:$T$44,MATCH($W44,Clients!$A$5:$A$44,0)),"")&lt;&gt;"Not Yet Agreed"),"Yes","No"))</f>
        <v/>
      </c>
      <c r="J44" s="30"/>
      <c r="K44" s="30"/>
      <c r="L44" s="30"/>
      <c r="M44" s="30"/>
      <c r="N44" s="30"/>
      <c r="O44" s="20" t="str">
        <f aca="false">IF($A44="","",IF(AND($Y44&lt;&gt;"",$Y44&gt;0,$X44&gt;0.4*$Y44),"Yes","No"))</f>
        <v/>
      </c>
      <c r="P44" s="20" t="str">
        <f aca="false">IF($A44="","",IF(AND($Z44&lt;&gt;"",$Z44&lt;0.15),"Yes","No"))</f>
        <v/>
      </c>
      <c r="Q44" s="20" t="str">
        <f aca="false">IF($A44="","",IF($AA44="Overdue","Yes","No"))</f>
        <v/>
      </c>
      <c r="R44" s="30"/>
      <c r="S44" s="30"/>
      <c r="T44" s="30"/>
      <c r="U44" s="20" t="str">
        <f aca="false">IF($A44="","",_xlfn.IFS((IF($D44="No",1,0)+IF($E44="No",1,0)+IF($F44="No",1,0)+IF($G44="No",1,0)+IF($I44="No",1,0)+IF($J44="No",1,0)+IF($K44="No",1,0)+IF($L44="Yes",1,0)+IF($M44="Yes",1,0)+IF($N44="Yes",1,0)+IF($O44="Yes",1,0)+IF($P44="Yes",1,0)+IF($Q44="Yes",1,0)+IF($R44="Yes",1,0)+IF($S44="No",1,0)+IF($T44="No",1,0))&lt;=2,"LOW",(IF($D44="No",1,0)+IF($E44="No",1,0)+IF($F44="No",1,0)+IF($G44="No",1,0)+IF($I44="No",1,0)+IF($J44="No",1,0)+IF($K44="No",1,0)+IF($L44="Yes",1,0)+IF($M44="Yes",1,0)+IF($N44="Yes",1,0)+IF($O44="Yes",1,0)+IF($P44="Yes",1,0)+IF($Q44="Yes",1,0)+IF($R44="Yes",1,0)+IF($S44="No",1,0)+IF($T44="No",1,0))&lt;=5,"MEDIUM",TRUE(),"HIGH"))</f>
        <v/>
      </c>
      <c r="V44" s="19" t="str">
        <f aca="false">IF($A44="","",IF(LEN(IF($D44="No","Scope undefined; ","")&amp;IF($E44="No","Brief unclear; ","")&amp;IF($F44="No","Contract not signed; ","")&amp;IF($G44="No","Deposit unpaid; ","")&amp;IF($I44="No","Ownership not agreed; ","")&amp;IF($J44="No","Deadline unrealistic; ","")&amp;IF($K44="No","Slow client response; ","")&amp;IF($L44="Yes","Brief keeps changing; ","")&amp;IF($M44="Yes","Extra work requested; ","")&amp;IF($N44="Yes","Exceeding expected hours; ","")&amp;IF($O44="Yes","Expenses over budget; ","")&amp;IF($P44="Yes","Margin too low; ","")&amp;IF($Q44="Yes","Payment overdue; ","")&amp;IF($R44="Yes","Scope creep; ","")&amp;IF($S44="No","Compliance unclear; ","")&amp;IF($T44="No","Manufacturing handover unclear; ",""))=0,"None — healthy",LEFT(IF($D44="No","Scope undefined; ","")&amp;IF($E44="No","Brief unclear; ","")&amp;IF($F44="No","Contract not signed; ","")&amp;IF($G44="No","Deposit unpaid; ","")&amp;IF($I44="No","Ownership not agreed; ","")&amp;IF($J44="No","Deadline unrealistic; ","")&amp;IF($K44="No","Slow client response; ","")&amp;IF($L44="Yes","Brief keeps changing; ","")&amp;IF($M44="Yes","Extra work requested; ","")&amp;IF($N44="Yes","Exceeding expected hours; ","")&amp;IF($O44="Yes","Expenses over budget; ","")&amp;IF($P44="Yes","Margin too low; ","")&amp;IF($Q44="Yes","Payment overdue; ","")&amp;IF($R44="Yes","Scope creep; ","")&amp;IF($S44="No","Compliance unclear; ","")&amp;IF($T44="No","Manufacturing handover unclear; ",""),LEN(IF($D44="No","Scope undefined; ","")&amp;IF($E44="No","Brief unclear; ","")&amp;IF($F44="No","Contract not signed; ","")&amp;IF($G44="No","Deposit unpaid; ","")&amp;IF($I44="No","Ownership not agreed; ","")&amp;IF($J44="No","Deadline unrealistic; ","")&amp;IF($K44="No","Slow client response; ","")&amp;IF($L44="Yes","Brief keeps changing; ","")&amp;IF($M44="Yes","Extra work requested; ","")&amp;IF($N44="Yes","Exceeding expected hours; ","")&amp;IF($O44="Yes","Expenses over budget; ","")&amp;IF($P44="Yes","Margin too low; ","")&amp;IF($Q44="Yes","Payment overdue; ","")&amp;IF($R44="Yes","Scope creep; ","")&amp;IF($S44="No","Compliance unclear; ","")&amp;IF($T44="No","Manufacturing handover unclear; ",""))-2)))</f>
        <v/>
      </c>
      <c r="W44" s="39" t="str">
        <f aca="false">IF($A44="","",IFERROR(INDEX('Fragrance Projects'!$B$5:$B$64,MATCH($A44,'Fragrance Projects'!$A$5:$A$64,0)),""))</f>
        <v/>
      </c>
      <c r="X44" s="39" t="str">
        <f aca="false">IF($A44="","",IFERROR(INDEX('Project Financials'!$U$5:$U$64,MATCH($A44,'Project Financials'!$A$5:$A$64,0)),""))</f>
        <v/>
      </c>
      <c r="Y44" s="39" t="str">
        <f aca="false">IF($A44="","",IFERROR(INDEX('Project Financials'!$D$5:$D$64,MATCH($A44,'Project Financials'!$A$5:$A$64,0)),""))</f>
        <v/>
      </c>
      <c r="Z44" s="39" t="str">
        <f aca="false">IF($A44="","",IFERROR(INDEX('Project Financials'!$AC$5:$AC$64,MATCH($A44,'Project Financials'!$A$5:$A$64,0)),""))</f>
        <v/>
      </c>
      <c r="AA44" s="39" t="str">
        <f aca="false">IF($A44="","",IFERROR(INDEX(Payments!$N$5:$N$64,MATCH($A44,Payments!$B$5:$B$64,0)),""))</f>
        <v/>
      </c>
    </row>
    <row r="45" customFormat="false" ht="21.75" hidden="false" customHeight="true" outlineLevel="0" collapsed="false">
      <c r="A45" s="30"/>
      <c r="B45" s="20" t="str">
        <f aca="false">IF($A45="","",IFERROR(INDEX('Fragrance Projects'!$C$5:$C$64,MATCH($A45,'Fragrance Projects'!$A$5:$A$64,0)),""))</f>
        <v/>
      </c>
      <c r="C45" s="20" t="str">
        <f aca="false">IF($A45="","",IFERROR(INDEX('Fragrance Projects'!$D$5:$D$64,MATCH($A45,'Fragrance Projects'!$A$5:$A$64,0)),""))</f>
        <v/>
      </c>
      <c r="D45" s="30"/>
      <c r="E45" s="30"/>
      <c r="F45" s="20" t="str">
        <f aca="false">IF($A45="","",IFERROR(INDEX(Clients!$R$5:$R$44,MATCH($W45,Clients!$A$5:$A$44,0)),""))</f>
        <v/>
      </c>
      <c r="G45" s="20" t="str">
        <f aca="false">IF($A45="","",IF(IFERROR(INDEX(Payments!$G$5:$G$64,MATCH($A45,Payments!$B$5:$B$64,0)),0)&gt;0,"Yes","No"))</f>
        <v/>
      </c>
      <c r="H45" s="20" t="str">
        <f aca="false">IF($A45="","",IFERROR(INDEX('Fragrance Projects'!$L$5:$L$64,MATCH($A45,'Fragrance Projects'!$A$5:$A$64,0)),""))</f>
        <v/>
      </c>
      <c r="I45" s="20" t="str">
        <f aca="false">IF($A45="","",IF(AND(IFERROR(INDEX(Clients!$T$5:$T$44,MATCH($W45,Clients!$A$5:$A$44,0)),"")&lt;&gt;"",IFERROR(INDEX(Clients!$T$5:$T$44,MATCH($W45,Clients!$A$5:$A$44,0)),"")&lt;&gt;"Not Yet Agreed"),"Yes","No"))</f>
        <v/>
      </c>
      <c r="J45" s="30"/>
      <c r="K45" s="30"/>
      <c r="L45" s="30"/>
      <c r="M45" s="30"/>
      <c r="N45" s="30"/>
      <c r="O45" s="20" t="str">
        <f aca="false">IF($A45="","",IF(AND($Y45&lt;&gt;"",$Y45&gt;0,$X45&gt;0.4*$Y45),"Yes","No"))</f>
        <v/>
      </c>
      <c r="P45" s="20" t="str">
        <f aca="false">IF($A45="","",IF(AND($Z45&lt;&gt;"",$Z45&lt;0.15),"Yes","No"))</f>
        <v/>
      </c>
      <c r="Q45" s="20" t="str">
        <f aca="false">IF($A45="","",IF($AA45="Overdue","Yes","No"))</f>
        <v/>
      </c>
      <c r="R45" s="30"/>
      <c r="S45" s="30"/>
      <c r="T45" s="30"/>
      <c r="U45" s="20" t="str">
        <f aca="false">IF($A45="","",_xlfn.IFS((IF($D45="No",1,0)+IF($E45="No",1,0)+IF($F45="No",1,0)+IF($G45="No",1,0)+IF($I45="No",1,0)+IF($J45="No",1,0)+IF($K45="No",1,0)+IF($L45="Yes",1,0)+IF($M45="Yes",1,0)+IF($N45="Yes",1,0)+IF($O45="Yes",1,0)+IF($P45="Yes",1,0)+IF($Q45="Yes",1,0)+IF($R45="Yes",1,0)+IF($S45="No",1,0)+IF($T45="No",1,0))&lt;=2,"LOW",(IF($D45="No",1,0)+IF($E45="No",1,0)+IF($F45="No",1,0)+IF($G45="No",1,0)+IF($I45="No",1,0)+IF($J45="No",1,0)+IF($K45="No",1,0)+IF($L45="Yes",1,0)+IF($M45="Yes",1,0)+IF($N45="Yes",1,0)+IF($O45="Yes",1,0)+IF($P45="Yes",1,0)+IF($Q45="Yes",1,0)+IF($R45="Yes",1,0)+IF($S45="No",1,0)+IF($T45="No",1,0))&lt;=5,"MEDIUM",TRUE(),"HIGH"))</f>
        <v/>
      </c>
      <c r="V45" s="19" t="str">
        <f aca="false">IF($A45="","",IF(LEN(IF($D45="No","Scope undefined; ","")&amp;IF($E45="No","Brief unclear; ","")&amp;IF($F45="No","Contract not signed; ","")&amp;IF($G45="No","Deposit unpaid; ","")&amp;IF($I45="No","Ownership not agreed; ","")&amp;IF($J45="No","Deadline unrealistic; ","")&amp;IF($K45="No","Slow client response; ","")&amp;IF($L45="Yes","Brief keeps changing; ","")&amp;IF($M45="Yes","Extra work requested; ","")&amp;IF($N45="Yes","Exceeding expected hours; ","")&amp;IF($O45="Yes","Expenses over budget; ","")&amp;IF($P45="Yes","Margin too low; ","")&amp;IF($Q45="Yes","Payment overdue; ","")&amp;IF($R45="Yes","Scope creep; ","")&amp;IF($S45="No","Compliance unclear; ","")&amp;IF($T45="No","Manufacturing handover unclear; ",""))=0,"None — healthy",LEFT(IF($D45="No","Scope undefined; ","")&amp;IF($E45="No","Brief unclear; ","")&amp;IF($F45="No","Contract not signed; ","")&amp;IF($G45="No","Deposit unpaid; ","")&amp;IF($I45="No","Ownership not agreed; ","")&amp;IF($J45="No","Deadline unrealistic; ","")&amp;IF($K45="No","Slow client response; ","")&amp;IF($L45="Yes","Brief keeps changing; ","")&amp;IF($M45="Yes","Extra work requested; ","")&amp;IF($N45="Yes","Exceeding expected hours; ","")&amp;IF($O45="Yes","Expenses over budget; ","")&amp;IF($P45="Yes","Margin too low; ","")&amp;IF($Q45="Yes","Payment overdue; ","")&amp;IF($R45="Yes","Scope creep; ","")&amp;IF($S45="No","Compliance unclear; ","")&amp;IF($T45="No","Manufacturing handover unclear; ",""),LEN(IF($D45="No","Scope undefined; ","")&amp;IF($E45="No","Brief unclear; ","")&amp;IF($F45="No","Contract not signed; ","")&amp;IF($G45="No","Deposit unpaid; ","")&amp;IF($I45="No","Ownership not agreed; ","")&amp;IF($J45="No","Deadline unrealistic; ","")&amp;IF($K45="No","Slow client response; ","")&amp;IF($L45="Yes","Brief keeps changing; ","")&amp;IF($M45="Yes","Extra work requested; ","")&amp;IF($N45="Yes","Exceeding expected hours; ","")&amp;IF($O45="Yes","Expenses over budget; ","")&amp;IF($P45="Yes","Margin too low; ","")&amp;IF($Q45="Yes","Payment overdue; ","")&amp;IF($R45="Yes","Scope creep; ","")&amp;IF($S45="No","Compliance unclear; ","")&amp;IF($T45="No","Manufacturing handover unclear; ",""))-2)))</f>
        <v/>
      </c>
      <c r="W45" s="39" t="str">
        <f aca="false">IF($A45="","",IFERROR(INDEX('Fragrance Projects'!$B$5:$B$64,MATCH($A45,'Fragrance Projects'!$A$5:$A$64,0)),""))</f>
        <v/>
      </c>
      <c r="X45" s="39" t="str">
        <f aca="false">IF($A45="","",IFERROR(INDEX('Project Financials'!$U$5:$U$64,MATCH($A45,'Project Financials'!$A$5:$A$64,0)),""))</f>
        <v/>
      </c>
      <c r="Y45" s="39" t="str">
        <f aca="false">IF($A45="","",IFERROR(INDEX('Project Financials'!$D$5:$D$64,MATCH($A45,'Project Financials'!$A$5:$A$64,0)),""))</f>
        <v/>
      </c>
      <c r="Z45" s="39" t="str">
        <f aca="false">IF($A45="","",IFERROR(INDEX('Project Financials'!$AC$5:$AC$64,MATCH($A45,'Project Financials'!$A$5:$A$64,0)),""))</f>
        <v/>
      </c>
      <c r="AA45" s="39" t="str">
        <f aca="false">IF($A45="","",IFERROR(INDEX(Payments!$N$5:$N$64,MATCH($A45,Payments!$B$5:$B$64,0)),""))</f>
        <v/>
      </c>
    </row>
    <row r="46" customFormat="false" ht="21.75" hidden="false" customHeight="true" outlineLevel="0" collapsed="false">
      <c r="A46" s="30"/>
      <c r="B46" s="20" t="str">
        <f aca="false">IF($A46="","",IFERROR(INDEX('Fragrance Projects'!$C$5:$C$64,MATCH($A46,'Fragrance Projects'!$A$5:$A$64,0)),""))</f>
        <v/>
      </c>
      <c r="C46" s="20" t="str">
        <f aca="false">IF($A46="","",IFERROR(INDEX('Fragrance Projects'!$D$5:$D$64,MATCH($A46,'Fragrance Projects'!$A$5:$A$64,0)),""))</f>
        <v/>
      </c>
      <c r="D46" s="30"/>
      <c r="E46" s="30"/>
      <c r="F46" s="20" t="str">
        <f aca="false">IF($A46="","",IFERROR(INDEX(Clients!$R$5:$R$44,MATCH($W46,Clients!$A$5:$A$44,0)),""))</f>
        <v/>
      </c>
      <c r="G46" s="20" t="str">
        <f aca="false">IF($A46="","",IF(IFERROR(INDEX(Payments!$G$5:$G$64,MATCH($A46,Payments!$B$5:$B$64,0)),0)&gt;0,"Yes","No"))</f>
        <v/>
      </c>
      <c r="H46" s="20" t="str">
        <f aca="false">IF($A46="","",IFERROR(INDEX('Fragrance Projects'!$L$5:$L$64,MATCH($A46,'Fragrance Projects'!$A$5:$A$64,0)),""))</f>
        <v/>
      </c>
      <c r="I46" s="20" t="str">
        <f aca="false">IF($A46="","",IF(AND(IFERROR(INDEX(Clients!$T$5:$T$44,MATCH($W46,Clients!$A$5:$A$44,0)),"")&lt;&gt;"",IFERROR(INDEX(Clients!$T$5:$T$44,MATCH($W46,Clients!$A$5:$A$44,0)),"")&lt;&gt;"Not Yet Agreed"),"Yes","No"))</f>
        <v/>
      </c>
      <c r="J46" s="30"/>
      <c r="K46" s="30"/>
      <c r="L46" s="30"/>
      <c r="M46" s="30"/>
      <c r="N46" s="30"/>
      <c r="O46" s="20" t="str">
        <f aca="false">IF($A46="","",IF(AND($Y46&lt;&gt;"",$Y46&gt;0,$X46&gt;0.4*$Y46),"Yes","No"))</f>
        <v/>
      </c>
      <c r="P46" s="20" t="str">
        <f aca="false">IF($A46="","",IF(AND($Z46&lt;&gt;"",$Z46&lt;0.15),"Yes","No"))</f>
        <v/>
      </c>
      <c r="Q46" s="20" t="str">
        <f aca="false">IF($A46="","",IF($AA46="Overdue","Yes","No"))</f>
        <v/>
      </c>
      <c r="R46" s="30"/>
      <c r="S46" s="30"/>
      <c r="T46" s="30"/>
      <c r="U46" s="20" t="str">
        <f aca="false">IF($A46="","",_xlfn.IFS((IF($D46="No",1,0)+IF($E46="No",1,0)+IF($F46="No",1,0)+IF($G46="No",1,0)+IF($I46="No",1,0)+IF($J46="No",1,0)+IF($K46="No",1,0)+IF($L46="Yes",1,0)+IF($M46="Yes",1,0)+IF($N46="Yes",1,0)+IF($O46="Yes",1,0)+IF($P46="Yes",1,0)+IF($Q46="Yes",1,0)+IF($R46="Yes",1,0)+IF($S46="No",1,0)+IF($T46="No",1,0))&lt;=2,"LOW",(IF($D46="No",1,0)+IF($E46="No",1,0)+IF($F46="No",1,0)+IF($G46="No",1,0)+IF($I46="No",1,0)+IF($J46="No",1,0)+IF($K46="No",1,0)+IF($L46="Yes",1,0)+IF($M46="Yes",1,0)+IF($N46="Yes",1,0)+IF($O46="Yes",1,0)+IF($P46="Yes",1,0)+IF($Q46="Yes",1,0)+IF($R46="Yes",1,0)+IF($S46="No",1,0)+IF($T46="No",1,0))&lt;=5,"MEDIUM",TRUE(),"HIGH"))</f>
        <v/>
      </c>
      <c r="V46" s="19" t="str">
        <f aca="false">IF($A46="","",IF(LEN(IF($D46="No","Scope undefined; ","")&amp;IF($E46="No","Brief unclear; ","")&amp;IF($F46="No","Contract not signed; ","")&amp;IF($G46="No","Deposit unpaid; ","")&amp;IF($I46="No","Ownership not agreed; ","")&amp;IF($J46="No","Deadline unrealistic; ","")&amp;IF($K46="No","Slow client response; ","")&amp;IF($L46="Yes","Brief keeps changing; ","")&amp;IF($M46="Yes","Extra work requested; ","")&amp;IF($N46="Yes","Exceeding expected hours; ","")&amp;IF($O46="Yes","Expenses over budget; ","")&amp;IF($P46="Yes","Margin too low; ","")&amp;IF($Q46="Yes","Payment overdue; ","")&amp;IF($R46="Yes","Scope creep; ","")&amp;IF($S46="No","Compliance unclear; ","")&amp;IF($T46="No","Manufacturing handover unclear; ",""))=0,"None — healthy",LEFT(IF($D46="No","Scope undefined; ","")&amp;IF($E46="No","Brief unclear; ","")&amp;IF($F46="No","Contract not signed; ","")&amp;IF($G46="No","Deposit unpaid; ","")&amp;IF($I46="No","Ownership not agreed; ","")&amp;IF($J46="No","Deadline unrealistic; ","")&amp;IF($K46="No","Slow client response; ","")&amp;IF($L46="Yes","Brief keeps changing; ","")&amp;IF($M46="Yes","Extra work requested; ","")&amp;IF($N46="Yes","Exceeding expected hours; ","")&amp;IF($O46="Yes","Expenses over budget; ","")&amp;IF($P46="Yes","Margin too low; ","")&amp;IF($Q46="Yes","Payment overdue; ","")&amp;IF($R46="Yes","Scope creep; ","")&amp;IF($S46="No","Compliance unclear; ","")&amp;IF($T46="No","Manufacturing handover unclear; ",""),LEN(IF($D46="No","Scope undefined; ","")&amp;IF($E46="No","Brief unclear; ","")&amp;IF($F46="No","Contract not signed; ","")&amp;IF($G46="No","Deposit unpaid; ","")&amp;IF($I46="No","Ownership not agreed; ","")&amp;IF($J46="No","Deadline unrealistic; ","")&amp;IF($K46="No","Slow client response; ","")&amp;IF($L46="Yes","Brief keeps changing; ","")&amp;IF($M46="Yes","Extra work requested; ","")&amp;IF($N46="Yes","Exceeding expected hours; ","")&amp;IF($O46="Yes","Expenses over budget; ","")&amp;IF($P46="Yes","Margin too low; ","")&amp;IF($Q46="Yes","Payment overdue; ","")&amp;IF($R46="Yes","Scope creep; ","")&amp;IF($S46="No","Compliance unclear; ","")&amp;IF($T46="No","Manufacturing handover unclear; ",""))-2)))</f>
        <v/>
      </c>
      <c r="W46" s="39" t="str">
        <f aca="false">IF($A46="","",IFERROR(INDEX('Fragrance Projects'!$B$5:$B$64,MATCH($A46,'Fragrance Projects'!$A$5:$A$64,0)),""))</f>
        <v/>
      </c>
      <c r="X46" s="39" t="str">
        <f aca="false">IF($A46="","",IFERROR(INDEX('Project Financials'!$U$5:$U$64,MATCH($A46,'Project Financials'!$A$5:$A$64,0)),""))</f>
        <v/>
      </c>
      <c r="Y46" s="39" t="str">
        <f aca="false">IF($A46="","",IFERROR(INDEX('Project Financials'!$D$5:$D$64,MATCH($A46,'Project Financials'!$A$5:$A$64,0)),""))</f>
        <v/>
      </c>
      <c r="Z46" s="39" t="str">
        <f aca="false">IF($A46="","",IFERROR(INDEX('Project Financials'!$AC$5:$AC$64,MATCH($A46,'Project Financials'!$A$5:$A$64,0)),""))</f>
        <v/>
      </c>
      <c r="AA46" s="39" t="str">
        <f aca="false">IF($A46="","",IFERROR(INDEX(Payments!$N$5:$N$64,MATCH($A46,Payments!$B$5:$B$64,0)),""))</f>
        <v/>
      </c>
    </row>
    <row r="47" customFormat="false" ht="21.75" hidden="false" customHeight="true" outlineLevel="0" collapsed="false">
      <c r="A47" s="30"/>
      <c r="B47" s="20" t="str">
        <f aca="false">IF($A47="","",IFERROR(INDEX('Fragrance Projects'!$C$5:$C$64,MATCH($A47,'Fragrance Projects'!$A$5:$A$64,0)),""))</f>
        <v/>
      </c>
      <c r="C47" s="20" t="str">
        <f aca="false">IF($A47="","",IFERROR(INDEX('Fragrance Projects'!$D$5:$D$64,MATCH($A47,'Fragrance Projects'!$A$5:$A$64,0)),""))</f>
        <v/>
      </c>
      <c r="D47" s="30"/>
      <c r="E47" s="30"/>
      <c r="F47" s="20" t="str">
        <f aca="false">IF($A47="","",IFERROR(INDEX(Clients!$R$5:$R$44,MATCH($W47,Clients!$A$5:$A$44,0)),""))</f>
        <v/>
      </c>
      <c r="G47" s="20" t="str">
        <f aca="false">IF($A47="","",IF(IFERROR(INDEX(Payments!$G$5:$G$64,MATCH($A47,Payments!$B$5:$B$64,0)),0)&gt;0,"Yes","No"))</f>
        <v/>
      </c>
      <c r="H47" s="20" t="str">
        <f aca="false">IF($A47="","",IFERROR(INDEX('Fragrance Projects'!$L$5:$L$64,MATCH($A47,'Fragrance Projects'!$A$5:$A$64,0)),""))</f>
        <v/>
      </c>
      <c r="I47" s="20" t="str">
        <f aca="false">IF($A47="","",IF(AND(IFERROR(INDEX(Clients!$T$5:$T$44,MATCH($W47,Clients!$A$5:$A$44,0)),"")&lt;&gt;"",IFERROR(INDEX(Clients!$T$5:$T$44,MATCH($W47,Clients!$A$5:$A$44,0)),"")&lt;&gt;"Not Yet Agreed"),"Yes","No"))</f>
        <v/>
      </c>
      <c r="J47" s="30"/>
      <c r="K47" s="30"/>
      <c r="L47" s="30"/>
      <c r="M47" s="30"/>
      <c r="N47" s="30"/>
      <c r="O47" s="20" t="str">
        <f aca="false">IF($A47="","",IF(AND($Y47&lt;&gt;"",$Y47&gt;0,$X47&gt;0.4*$Y47),"Yes","No"))</f>
        <v/>
      </c>
      <c r="P47" s="20" t="str">
        <f aca="false">IF($A47="","",IF(AND($Z47&lt;&gt;"",$Z47&lt;0.15),"Yes","No"))</f>
        <v/>
      </c>
      <c r="Q47" s="20" t="str">
        <f aca="false">IF($A47="","",IF($AA47="Overdue","Yes","No"))</f>
        <v/>
      </c>
      <c r="R47" s="30"/>
      <c r="S47" s="30"/>
      <c r="T47" s="30"/>
      <c r="U47" s="20" t="str">
        <f aca="false">IF($A47="","",_xlfn.IFS((IF($D47="No",1,0)+IF($E47="No",1,0)+IF($F47="No",1,0)+IF($G47="No",1,0)+IF($I47="No",1,0)+IF($J47="No",1,0)+IF($K47="No",1,0)+IF($L47="Yes",1,0)+IF($M47="Yes",1,0)+IF($N47="Yes",1,0)+IF($O47="Yes",1,0)+IF($P47="Yes",1,0)+IF($Q47="Yes",1,0)+IF($R47="Yes",1,0)+IF($S47="No",1,0)+IF($T47="No",1,0))&lt;=2,"LOW",(IF($D47="No",1,0)+IF($E47="No",1,0)+IF($F47="No",1,0)+IF($G47="No",1,0)+IF($I47="No",1,0)+IF($J47="No",1,0)+IF($K47="No",1,0)+IF($L47="Yes",1,0)+IF($M47="Yes",1,0)+IF($N47="Yes",1,0)+IF($O47="Yes",1,0)+IF($P47="Yes",1,0)+IF($Q47="Yes",1,0)+IF($R47="Yes",1,0)+IF($S47="No",1,0)+IF($T47="No",1,0))&lt;=5,"MEDIUM",TRUE(),"HIGH"))</f>
        <v/>
      </c>
      <c r="V47" s="19" t="str">
        <f aca="false">IF($A47="","",IF(LEN(IF($D47="No","Scope undefined; ","")&amp;IF($E47="No","Brief unclear; ","")&amp;IF($F47="No","Contract not signed; ","")&amp;IF($G47="No","Deposit unpaid; ","")&amp;IF($I47="No","Ownership not agreed; ","")&amp;IF($J47="No","Deadline unrealistic; ","")&amp;IF($K47="No","Slow client response; ","")&amp;IF($L47="Yes","Brief keeps changing; ","")&amp;IF($M47="Yes","Extra work requested; ","")&amp;IF($N47="Yes","Exceeding expected hours; ","")&amp;IF($O47="Yes","Expenses over budget; ","")&amp;IF($P47="Yes","Margin too low; ","")&amp;IF($Q47="Yes","Payment overdue; ","")&amp;IF($R47="Yes","Scope creep; ","")&amp;IF($S47="No","Compliance unclear; ","")&amp;IF($T47="No","Manufacturing handover unclear; ",""))=0,"None — healthy",LEFT(IF($D47="No","Scope undefined; ","")&amp;IF($E47="No","Brief unclear; ","")&amp;IF($F47="No","Contract not signed; ","")&amp;IF($G47="No","Deposit unpaid; ","")&amp;IF($I47="No","Ownership not agreed; ","")&amp;IF($J47="No","Deadline unrealistic; ","")&amp;IF($K47="No","Slow client response; ","")&amp;IF($L47="Yes","Brief keeps changing; ","")&amp;IF($M47="Yes","Extra work requested; ","")&amp;IF($N47="Yes","Exceeding expected hours; ","")&amp;IF($O47="Yes","Expenses over budget; ","")&amp;IF($P47="Yes","Margin too low; ","")&amp;IF($Q47="Yes","Payment overdue; ","")&amp;IF($R47="Yes","Scope creep; ","")&amp;IF($S47="No","Compliance unclear; ","")&amp;IF($T47="No","Manufacturing handover unclear; ",""),LEN(IF($D47="No","Scope undefined; ","")&amp;IF($E47="No","Brief unclear; ","")&amp;IF($F47="No","Contract not signed; ","")&amp;IF($G47="No","Deposit unpaid; ","")&amp;IF($I47="No","Ownership not agreed; ","")&amp;IF($J47="No","Deadline unrealistic; ","")&amp;IF($K47="No","Slow client response; ","")&amp;IF($L47="Yes","Brief keeps changing; ","")&amp;IF($M47="Yes","Extra work requested; ","")&amp;IF($N47="Yes","Exceeding expected hours; ","")&amp;IF($O47="Yes","Expenses over budget; ","")&amp;IF($P47="Yes","Margin too low; ","")&amp;IF($Q47="Yes","Payment overdue; ","")&amp;IF($R47="Yes","Scope creep; ","")&amp;IF($S47="No","Compliance unclear; ","")&amp;IF($T47="No","Manufacturing handover unclear; ",""))-2)))</f>
        <v/>
      </c>
      <c r="W47" s="39" t="str">
        <f aca="false">IF($A47="","",IFERROR(INDEX('Fragrance Projects'!$B$5:$B$64,MATCH($A47,'Fragrance Projects'!$A$5:$A$64,0)),""))</f>
        <v/>
      </c>
      <c r="X47" s="39" t="str">
        <f aca="false">IF($A47="","",IFERROR(INDEX('Project Financials'!$U$5:$U$64,MATCH($A47,'Project Financials'!$A$5:$A$64,0)),""))</f>
        <v/>
      </c>
      <c r="Y47" s="39" t="str">
        <f aca="false">IF($A47="","",IFERROR(INDEX('Project Financials'!$D$5:$D$64,MATCH($A47,'Project Financials'!$A$5:$A$64,0)),""))</f>
        <v/>
      </c>
      <c r="Z47" s="39" t="str">
        <f aca="false">IF($A47="","",IFERROR(INDEX('Project Financials'!$AC$5:$AC$64,MATCH($A47,'Project Financials'!$A$5:$A$64,0)),""))</f>
        <v/>
      </c>
      <c r="AA47" s="39" t="str">
        <f aca="false">IF($A47="","",IFERROR(INDEX(Payments!$N$5:$N$64,MATCH($A47,Payments!$B$5:$B$64,0)),""))</f>
        <v/>
      </c>
    </row>
    <row r="48" customFormat="false" ht="21.75" hidden="false" customHeight="true" outlineLevel="0" collapsed="false">
      <c r="A48" s="30"/>
      <c r="B48" s="20" t="str">
        <f aca="false">IF($A48="","",IFERROR(INDEX('Fragrance Projects'!$C$5:$C$64,MATCH($A48,'Fragrance Projects'!$A$5:$A$64,0)),""))</f>
        <v/>
      </c>
      <c r="C48" s="20" t="str">
        <f aca="false">IF($A48="","",IFERROR(INDEX('Fragrance Projects'!$D$5:$D$64,MATCH($A48,'Fragrance Projects'!$A$5:$A$64,0)),""))</f>
        <v/>
      </c>
      <c r="D48" s="30"/>
      <c r="E48" s="30"/>
      <c r="F48" s="20" t="str">
        <f aca="false">IF($A48="","",IFERROR(INDEX(Clients!$R$5:$R$44,MATCH($W48,Clients!$A$5:$A$44,0)),""))</f>
        <v/>
      </c>
      <c r="G48" s="20" t="str">
        <f aca="false">IF($A48="","",IF(IFERROR(INDEX(Payments!$G$5:$G$64,MATCH($A48,Payments!$B$5:$B$64,0)),0)&gt;0,"Yes","No"))</f>
        <v/>
      </c>
      <c r="H48" s="20" t="str">
        <f aca="false">IF($A48="","",IFERROR(INDEX('Fragrance Projects'!$L$5:$L$64,MATCH($A48,'Fragrance Projects'!$A$5:$A$64,0)),""))</f>
        <v/>
      </c>
      <c r="I48" s="20" t="str">
        <f aca="false">IF($A48="","",IF(AND(IFERROR(INDEX(Clients!$T$5:$T$44,MATCH($W48,Clients!$A$5:$A$44,0)),"")&lt;&gt;"",IFERROR(INDEX(Clients!$T$5:$T$44,MATCH($W48,Clients!$A$5:$A$44,0)),"")&lt;&gt;"Not Yet Agreed"),"Yes","No"))</f>
        <v/>
      </c>
      <c r="J48" s="30"/>
      <c r="K48" s="30"/>
      <c r="L48" s="30"/>
      <c r="M48" s="30"/>
      <c r="N48" s="30"/>
      <c r="O48" s="20" t="str">
        <f aca="false">IF($A48="","",IF(AND($Y48&lt;&gt;"",$Y48&gt;0,$X48&gt;0.4*$Y48),"Yes","No"))</f>
        <v/>
      </c>
      <c r="P48" s="20" t="str">
        <f aca="false">IF($A48="","",IF(AND($Z48&lt;&gt;"",$Z48&lt;0.15),"Yes","No"))</f>
        <v/>
      </c>
      <c r="Q48" s="20" t="str">
        <f aca="false">IF($A48="","",IF($AA48="Overdue","Yes","No"))</f>
        <v/>
      </c>
      <c r="R48" s="30"/>
      <c r="S48" s="30"/>
      <c r="T48" s="30"/>
      <c r="U48" s="20" t="str">
        <f aca="false">IF($A48="","",_xlfn.IFS((IF($D48="No",1,0)+IF($E48="No",1,0)+IF($F48="No",1,0)+IF($G48="No",1,0)+IF($I48="No",1,0)+IF($J48="No",1,0)+IF($K48="No",1,0)+IF($L48="Yes",1,0)+IF($M48="Yes",1,0)+IF($N48="Yes",1,0)+IF($O48="Yes",1,0)+IF($P48="Yes",1,0)+IF($Q48="Yes",1,0)+IF($R48="Yes",1,0)+IF($S48="No",1,0)+IF($T48="No",1,0))&lt;=2,"LOW",(IF($D48="No",1,0)+IF($E48="No",1,0)+IF($F48="No",1,0)+IF($G48="No",1,0)+IF($I48="No",1,0)+IF($J48="No",1,0)+IF($K48="No",1,0)+IF($L48="Yes",1,0)+IF($M48="Yes",1,0)+IF($N48="Yes",1,0)+IF($O48="Yes",1,0)+IF($P48="Yes",1,0)+IF($Q48="Yes",1,0)+IF($R48="Yes",1,0)+IF($S48="No",1,0)+IF($T48="No",1,0))&lt;=5,"MEDIUM",TRUE(),"HIGH"))</f>
        <v/>
      </c>
      <c r="V48" s="19" t="str">
        <f aca="false">IF($A48="","",IF(LEN(IF($D48="No","Scope undefined; ","")&amp;IF($E48="No","Brief unclear; ","")&amp;IF($F48="No","Contract not signed; ","")&amp;IF($G48="No","Deposit unpaid; ","")&amp;IF($I48="No","Ownership not agreed; ","")&amp;IF($J48="No","Deadline unrealistic; ","")&amp;IF($K48="No","Slow client response; ","")&amp;IF($L48="Yes","Brief keeps changing; ","")&amp;IF($M48="Yes","Extra work requested; ","")&amp;IF($N48="Yes","Exceeding expected hours; ","")&amp;IF($O48="Yes","Expenses over budget; ","")&amp;IF($P48="Yes","Margin too low; ","")&amp;IF($Q48="Yes","Payment overdue; ","")&amp;IF($R48="Yes","Scope creep; ","")&amp;IF($S48="No","Compliance unclear; ","")&amp;IF($T48="No","Manufacturing handover unclear; ",""))=0,"None — healthy",LEFT(IF($D48="No","Scope undefined; ","")&amp;IF($E48="No","Brief unclear; ","")&amp;IF($F48="No","Contract not signed; ","")&amp;IF($G48="No","Deposit unpaid; ","")&amp;IF($I48="No","Ownership not agreed; ","")&amp;IF($J48="No","Deadline unrealistic; ","")&amp;IF($K48="No","Slow client response; ","")&amp;IF($L48="Yes","Brief keeps changing; ","")&amp;IF($M48="Yes","Extra work requested; ","")&amp;IF($N48="Yes","Exceeding expected hours; ","")&amp;IF($O48="Yes","Expenses over budget; ","")&amp;IF($P48="Yes","Margin too low; ","")&amp;IF($Q48="Yes","Payment overdue; ","")&amp;IF($R48="Yes","Scope creep; ","")&amp;IF($S48="No","Compliance unclear; ","")&amp;IF($T48="No","Manufacturing handover unclear; ",""),LEN(IF($D48="No","Scope undefined; ","")&amp;IF($E48="No","Brief unclear; ","")&amp;IF($F48="No","Contract not signed; ","")&amp;IF($G48="No","Deposit unpaid; ","")&amp;IF($I48="No","Ownership not agreed; ","")&amp;IF($J48="No","Deadline unrealistic; ","")&amp;IF($K48="No","Slow client response; ","")&amp;IF($L48="Yes","Brief keeps changing; ","")&amp;IF($M48="Yes","Extra work requested; ","")&amp;IF($N48="Yes","Exceeding expected hours; ","")&amp;IF($O48="Yes","Expenses over budget; ","")&amp;IF($P48="Yes","Margin too low; ","")&amp;IF($Q48="Yes","Payment overdue; ","")&amp;IF($R48="Yes","Scope creep; ","")&amp;IF($S48="No","Compliance unclear; ","")&amp;IF($T48="No","Manufacturing handover unclear; ",""))-2)))</f>
        <v/>
      </c>
      <c r="W48" s="39" t="str">
        <f aca="false">IF($A48="","",IFERROR(INDEX('Fragrance Projects'!$B$5:$B$64,MATCH($A48,'Fragrance Projects'!$A$5:$A$64,0)),""))</f>
        <v/>
      </c>
      <c r="X48" s="39" t="str">
        <f aca="false">IF($A48="","",IFERROR(INDEX('Project Financials'!$U$5:$U$64,MATCH($A48,'Project Financials'!$A$5:$A$64,0)),""))</f>
        <v/>
      </c>
      <c r="Y48" s="39" t="str">
        <f aca="false">IF($A48="","",IFERROR(INDEX('Project Financials'!$D$5:$D$64,MATCH($A48,'Project Financials'!$A$5:$A$64,0)),""))</f>
        <v/>
      </c>
      <c r="Z48" s="39" t="str">
        <f aca="false">IF($A48="","",IFERROR(INDEX('Project Financials'!$AC$5:$AC$64,MATCH($A48,'Project Financials'!$A$5:$A$64,0)),""))</f>
        <v/>
      </c>
      <c r="AA48" s="39" t="str">
        <f aca="false">IF($A48="","",IFERROR(INDEX(Payments!$N$5:$N$64,MATCH($A48,Payments!$B$5:$B$64,0)),""))</f>
        <v/>
      </c>
    </row>
    <row r="49" customFormat="false" ht="21.75" hidden="false" customHeight="true" outlineLevel="0" collapsed="false">
      <c r="A49" s="30"/>
      <c r="B49" s="20" t="str">
        <f aca="false">IF($A49="","",IFERROR(INDEX('Fragrance Projects'!$C$5:$C$64,MATCH($A49,'Fragrance Projects'!$A$5:$A$64,0)),""))</f>
        <v/>
      </c>
      <c r="C49" s="20" t="str">
        <f aca="false">IF($A49="","",IFERROR(INDEX('Fragrance Projects'!$D$5:$D$64,MATCH($A49,'Fragrance Projects'!$A$5:$A$64,0)),""))</f>
        <v/>
      </c>
      <c r="D49" s="30"/>
      <c r="E49" s="30"/>
      <c r="F49" s="20" t="str">
        <f aca="false">IF($A49="","",IFERROR(INDEX(Clients!$R$5:$R$44,MATCH($W49,Clients!$A$5:$A$44,0)),""))</f>
        <v/>
      </c>
      <c r="G49" s="20" t="str">
        <f aca="false">IF($A49="","",IF(IFERROR(INDEX(Payments!$G$5:$G$64,MATCH($A49,Payments!$B$5:$B$64,0)),0)&gt;0,"Yes","No"))</f>
        <v/>
      </c>
      <c r="H49" s="20" t="str">
        <f aca="false">IF($A49="","",IFERROR(INDEX('Fragrance Projects'!$L$5:$L$64,MATCH($A49,'Fragrance Projects'!$A$5:$A$64,0)),""))</f>
        <v/>
      </c>
      <c r="I49" s="20" t="str">
        <f aca="false">IF($A49="","",IF(AND(IFERROR(INDEX(Clients!$T$5:$T$44,MATCH($W49,Clients!$A$5:$A$44,0)),"")&lt;&gt;"",IFERROR(INDEX(Clients!$T$5:$T$44,MATCH($W49,Clients!$A$5:$A$44,0)),"")&lt;&gt;"Not Yet Agreed"),"Yes","No"))</f>
        <v/>
      </c>
      <c r="J49" s="30"/>
      <c r="K49" s="30"/>
      <c r="L49" s="30"/>
      <c r="M49" s="30"/>
      <c r="N49" s="30"/>
      <c r="O49" s="20" t="str">
        <f aca="false">IF($A49="","",IF(AND($Y49&lt;&gt;"",$Y49&gt;0,$X49&gt;0.4*$Y49),"Yes","No"))</f>
        <v/>
      </c>
      <c r="P49" s="20" t="str">
        <f aca="false">IF($A49="","",IF(AND($Z49&lt;&gt;"",$Z49&lt;0.15),"Yes","No"))</f>
        <v/>
      </c>
      <c r="Q49" s="20" t="str">
        <f aca="false">IF($A49="","",IF($AA49="Overdue","Yes","No"))</f>
        <v/>
      </c>
      <c r="R49" s="30"/>
      <c r="S49" s="30"/>
      <c r="T49" s="30"/>
      <c r="U49" s="20" t="str">
        <f aca="false">IF($A49="","",_xlfn.IFS((IF($D49="No",1,0)+IF($E49="No",1,0)+IF($F49="No",1,0)+IF($G49="No",1,0)+IF($I49="No",1,0)+IF($J49="No",1,0)+IF($K49="No",1,0)+IF($L49="Yes",1,0)+IF($M49="Yes",1,0)+IF($N49="Yes",1,0)+IF($O49="Yes",1,0)+IF($P49="Yes",1,0)+IF($Q49="Yes",1,0)+IF($R49="Yes",1,0)+IF($S49="No",1,0)+IF($T49="No",1,0))&lt;=2,"LOW",(IF($D49="No",1,0)+IF($E49="No",1,0)+IF($F49="No",1,0)+IF($G49="No",1,0)+IF($I49="No",1,0)+IF($J49="No",1,0)+IF($K49="No",1,0)+IF($L49="Yes",1,0)+IF($M49="Yes",1,0)+IF($N49="Yes",1,0)+IF($O49="Yes",1,0)+IF($P49="Yes",1,0)+IF($Q49="Yes",1,0)+IF($R49="Yes",1,0)+IF($S49="No",1,0)+IF($T49="No",1,0))&lt;=5,"MEDIUM",TRUE(),"HIGH"))</f>
        <v/>
      </c>
      <c r="V49" s="19" t="str">
        <f aca="false">IF($A49="","",IF(LEN(IF($D49="No","Scope undefined; ","")&amp;IF($E49="No","Brief unclear; ","")&amp;IF($F49="No","Contract not signed; ","")&amp;IF($G49="No","Deposit unpaid; ","")&amp;IF($I49="No","Ownership not agreed; ","")&amp;IF($J49="No","Deadline unrealistic; ","")&amp;IF($K49="No","Slow client response; ","")&amp;IF($L49="Yes","Brief keeps changing; ","")&amp;IF($M49="Yes","Extra work requested; ","")&amp;IF($N49="Yes","Exceeding expected hours; ","")&amp;IF($O49="Yes","Expenses over budget; ","")&amp;IF($P49="Yes","Margin too low; ","")&amp;IF($Q49="Yes","Payment overdue; ","")&amp;IF($R49="Yes","Scope creep; ","")&amp;IF($S49="No","Compliance unclear; ","")&amp;IF($T49="No","Manufacturing handover unclear; ",""))=0,"None — healthy",LEFT(IF($D49="No","Scope undefined; ","")&amp;IF($E49="No","Brief unclear; ","")&amp;IF($F49="No","Contract not signed; ","")&amp;IF($G49="No","Deposit unpaid; ","")&amp;IF($I49="No","Ownership not agreed; ","")&amp;IF($J49="No","Deadline unrealistic; ","")&amp;IF($K49="No","Slow client response; ","")&amp;IF($L49="Yes","Brief keeps changing; ","")&amp;IF($M49="Yes","Extra work requested; ","")&amp;IF($N49="Yes","Exceeding expected hours; ","")&amp;IF($O49="Yes","Expenses over budget; ","")&amp;IF($P49="Yes","Margin too low; ","")&amp;IF($Q49="Yes","Payment overdue; ","")&amp;IF($R49="Yes","Scope creep; ","")&amp;IF($S49="No","Compliance unclear; ","")&amp;IF($T49="No","Manufacturing handover unclear; ",""),LEN(IF($D49="No","Scope undefined; ","")&amp;IF($E49="No","Brief unclear; ","")&amp;IF($F49="No","Contract not signed; ","")&amp;IF($G49="No","Deposit unpaid; ","")&amp;IF($I49="No","Ownership not agreed; ","")&amp;IF($J49="No","Deadline unrealistic; ","")&amp;IF($K49="No","Slow client response; ","")&amp;IF($L49="Yes","Brief keeps changing; ","")&amp;IF($M49="Yes","Extra work requested; ","")&amp;IF($N49="Yes","Exceeding expected hours; ","")&amp;IF($O49="Yes","Expenses over budget; ","")&amp;IF($P49="Yes","Margin too low; ","")&amp;IF($Q49="Yes","Payment overdue; ","")&amp;IF($R49="Yes","Scope creep; ","")&amp;IF($S49="No","Compliance unclear; ","")&amp;IF($T49="No","Manufacturing handover unclear; ",""))-2)))</f>
        <v/>
      </c>
      <c r="W49" s="39" t="str">
        <f aca="false">IF($A49="","",IFERROR(INDEX('Fragrance Projects'!$B$5:$B$64,MATCH($A49,'Fragrance Projects'!$A$5:$A$64,0)),""))</f>
        <v/>
      </c>
      <c r="X49" s="39" t="str">
        <f aca="false">IF($A49="","",IFERROR(INDEX('Project Financials'!$U$5:$U$64,MATCH($A49,'Project Financials'!$A$5:$A$64,0)),""))</f>
        <v/>
      </c>
      <c r="Y49" s="39" t="str">
        <f aca="false">IF($A49="","",IFERROR(INDEX('Project Financials'!$D$5:$D$64,MATCH($A49,'Project Financials'!$A$5:$A$64,0)),""))</f>
        <v/>
      </c>
      <c r="Z49" s="39" t="str">
        <f aca="false">IF($A49="","",IFERROR(INDEX('Project Financials'!$AC$5:$AC$64,MATCH($A49,'Project Financials'!$A$5:$A$64,0)),""))</f>
        <v/>
      </c>
      <c r="AA49" s="39" t="str">
        <f aca="false">IF($A49="","",IFERROR(INDEX(Payments!$N$5:$N$64,MATCH($A49,Payments!$B$5:$B$64,0)),""))</f>
        <v/>
      </c>
    </row>
    <row r="50" customFormat="false" ht="21.75" hidden="false" customHeight="true" outlineLevel="0" collapsed="false">
      <c r="A50" s="30"/>
      <c r="B50" s="20" t="str">
        <f aca="false">IF($A50="","",IFERROR(INDEX('Fragrance Projects'!$C$5:$C$64,MATCH($A50,'Fragrance Projects'!$A$5:$A$64,0)),""))</f>
        <v/>
      </c>
      <c r="C50" s="20" t="str">
        <f aca="false">IF($A50="","",IFERROR(INDEX('Fragrance Projects'!$D$5:$D$64,MATCH($A50,'Fragrance Projects'!$A$5:$A$64,0)),""))</f>
        <v/>
      </c>
      <c r="D50" s="30"/>
      <c r="E50" s="30"/>
      <c r="F50" s="20" t="str">
        <f aca="false">IF($A50="","",IFERROR(INDEX(Clients!$R$5:$R$44,MATCH($W50,Clients!$A$5:$A$44,0)),""))</f>
        <v/>
      </c>
      <c r="G50" s="20" t="str">
        <f aca="false">IF($A50="","",IF(IFERROR(INDEX(Payments!$G$5:$G$64,MATCH($A50,Payments!$B$5:$B$64,0)),0)&gt;0,"Yes","No"))</f>
        <v/>
      </c>
      <c r="H50" s="20" t="str">
        <f aca="false">IF($A50="","",IFERROR(INDEX('Fragrance Projects'!$L$5:$L$64,MATCH($A50,'Fragrance Projects'!$A$5:$A$64,0)),""))</f>
        <v/>
      </c>
      <c r="I50" s="20" t="str">
        <f aca="false">IF($A50="","",IF(AND(IFERROR(INDEX(Clients!$T$5:$T$44,MATCH($W50,Clients!$A$5:$A$44,0)),"")&lt;&gt;"",IFERROR(INDEX(Clients!$T$5:$T$44,MATCH($W50,Clients!$A$5:$A$44,0)),"")&lt;&gt;"Not Yet Agreed"),"Yes","No"))</f>
        <v/>
      </c>
      <c r="J50" s="30"/>
      <c r="K50" s="30"/>
      <c r="L50" s="30"/>
      <c r="M50" s="30"/>
      <c r="N50" s="30"/>
      <c r="O50" s="20" t="str">
        <f aca="false">IF($A50="","",IF(AND($Y50&lt;&gt;"",$Y50&gt;0,$X50&gt;0.4*$Y50),"Yes","No"))</f>
        <v/>
      </c>
      <c r="P50" s="20" t="str">
        <f aca="false">IF($A50="","",IF(AND($Z50&lt;&gt;"",$Z50&lt;0.15),"Yes","No"))</f>
        <v/>
      </c>
      <c r="Q50" s="20" t="str">
        <f aca="false">IF($A50="","",IF($AA50="Overdue","Yes","No"))</f>
        <v/>
      </c>
      <c r="R50" s="30"/>
      <c r="S50" s="30"/>
      <c r="T50" s="30"/>
      <c r="U50" s="20" t="str">
        <f aca="false">IF($A50="","",_xlfn.IFS((IF($D50="No",1,0)+IF($E50="No",1,0)+IF($F50="No",1,0)+IF($G50="No",1,0)+IF($I50="No",1,0)+IF($J50="No",1,0)+IF($K50="No",1,0)+IF($L50="Yes",1,0)+IF($M50="Yes",1,0)+IF($N50="Yes",1,0)+IF($O50="Yes",1,0)+IF($P50="Yes",1,0)+IF($Q50="Yes",1,0)+IF($R50="Yes",1,0)+IF($S50="No",1,0)+IF($T50="No",1,0))&lt;=2,"LOW",(IF($D50="No",1,0)+IF($E50="No",1,0)+IF($F50="No",1,0)+IF($G50="No",1,0)+IF($I50="No",1,0)+IF($J50="No",1,0)+IF($K50="No",1,0)+IF($L50="Yes",1,0)+IF($M50="Yes",1,0)+IF($N50="Yes",1,0)+IF($O50="Yes",1,0)+IF($P50="Yes",1,0)+IF($Q50="Yes",1,0)+IF($R50="Yes",1,0)+IF($S50="No",1,0)+IF($T50="No",1,0))&lt;=5,"MEDIUM",TRUE(),"HIGH"))</f>
        <v/>
      </c>
      <c r="V50" s="19" t="str">
        <f aca="false">IF($A50="","",IF(LEN(IF($D50="No","Scope undefined; ","")&amp;IF($E50="No","Brief unclear; ","")&amp;IF($F50="No","Contract not signed; ","")&amp;IF($G50="No","Deposit unpaid; ","")&amp;IF($I50="No","Ownership not agreed; ","")&amp;IF($J50="No","Deadline unrealistic; ","")&amp;IF($K50="No","Slow client response; ","")&amp;IF($L50="Yes","Brief keeps changing; ","")&amp;IF($M50="Yes","Extra work requested; ","")&amp;IF($N50="Yes","Exceeding expected hours; ","")&amp;IF($O50="Yes","Expenses over budget; ","")&amp;IF($P50="Yes","Margin too low; ","")&amp;IF($Q50="Yes","Payment overdue; ","")&amp;IF($R50="Yes","Scope creep; ","")&amp;IF($S50="No","Compliance unclear; ","")&amp;IF($T50="No","Manufacturing handover unclear; ",""))=0,"None — healthy",LEFT(IF($D50="No","Scope undefined; ","")&amp;IF($E50="No","Brief unclear; ","")&amp;IF($F50="No","Contract not signed; ","")&amp;IF($G50="No","Deposit unpaid; ","")&amp;IF($I50="No","Ownership not agreed; ","")&amp;IF($J50="No","Deadline unrealistic; ","")&amp;IF($K50="No","Slow client response; ","")&amp;IF($L50="Yes","Brief keeps changing; ","")&amp;IF($M50="Yes","Extra work requested; ","")&amp;IF($N50="Yes","Exceeding expected hours; ","")&amp;IF($O50="Yes","Expenses over budget; ","")&amp;IF($P50="Yes","Margin too low; ","")&amp;IF($Q50="Yes","Payment overdue; ","")&amp;IF($R50="Yes","Scope creep; ","")&amp;IF($S50="No","Compliance unclear; ","")&amp;IF($T50="No","Manufacturing handover unclear; ",""),LEN(IF($D50="No","Scope undefined; ","")&amp;IF($E50="No","Brief unclear; ","")&amp;IF($F50="No","Contract not signed; ","")&amp;IF($G50="No","Deposit unpaid; ","")&amp;IF($I50="No","Ownership not agreed; ","")&amp;IF($J50="No","Deadline unrealistic; ","")&amp;IF($K50="No","Slow client response; ","")&amp;IF($L50="Yes","Brief keeps changing; ","")&amp;IF($M50="Yes","Extra work requested; ","")&amp;IF($N50="Yes","Exceeding expected hours; ","")&amp;IF($O50="Yes","Expenses over budget; ","")&amp;IF($P50="Yes","Margin too low; ","")&amp;IF($Q50="Yes","Payment overdue; ","")&amp;IF($R50="Yes","Scope creep; ","")&amp;IF($S50="No","Compliance unclear; ","")&amp;IF($T50="No","Manufacturing handover unclear; ",""))-2)))</f>
        <v/>
      </c>
      <c r="W50" s="39" t="str">
        <f aca="false">IF($A50="","",IFERROR(INDEX('Fragrance Projects'!$B$5:$B$64,MATCH($A50,'Fragrance Projects'!$A$5:$A$64,0)),""))</f>
        <v/>
      </c>
      <c r="X50" s="39" t="str">
        <f aca="false">IF($A50="","",IFERROR(INDEX('Project Financials'!$U$5:$U$64,MATCH($A50,'Project Financials'!$A$5:$A$64,0)),""))</f>
        <v/>
      </c>
      <c r="Y50" s="39" t="str">
        <f aca="false">IF($A50="","",IFERROR(INDEX('Project Financials'!$D$5:$D$64,MATCH($A50,'Project Financials'!$A$5:$A$64,0)),""))</f>
        <v/>
      </c>
      <c r="Z50" s="39" t="str">
        <f aca="false">IF($A50="","",IFERROR(INDEX('Project Financials'!$AC$5:$AC$64,MATCH($A50,'Project Financials'!$A$5:$A$64,0)),""))</f>
        <v/>
      </c>
      <c r="AA50" s="39" t="str">
        <f aca="false">IF($A50="","",IFERROR(INDEX(Payments!$N$5:$N$64,MATCH($A50,Payments!$B$5:$B$64,0)),""))</f>
        <v/>
      </c>
    </row>
    <row r="51" customFormat="false" ht="21.75" hidden="false" customHeight="true" outlineLevel="0" collapsed="false">
      <c r="A51" s="30"/>
      <c r="B51" s="20" t="str">
        <f aca="false">IF($A51="","",IFERROR(INDEX('Fragrance Projects'!$C$5:$C$64,MATCH($A51,'Fragrance Projects'!$A$5:$A$64,0)),""))</f>
        <v/>
      </c>
      <c r="C51" s="20" t="str">
        <f aca="false">IF($A51="","",IFERROR(INDEX('Fragrance Projects'!$D$5:$D$64,MATCH($A51,'Fragrance Projects'!$A$5:$A$64,0)),""))</f>
        <v/>
      </c>
      <c r="D51" s="30"/>
      <c r="E51" s="30"/>
      <c r="F51" s="20" t="str">
        <f aca="false">IF($A51="","",IFERROR(INDEX(Clients!$R$5:$R$44,MATCH($W51,Clients!$A$5:$A$44,0)),""))</f>
        <v/>
      </c>
      <c r="G51" s="20" t="str">
        <f aca="false">IF($A51="","",IF(IFERROR(INDEX(Payments!$G$5:$G$64,MATCH($A51,Payments!$B$5:$B$64,0)),0)&gt;0,"Yes","No"))</f>
        <v/>
      </c>
      <c r="H51" s="20" t="str">
        <f aca="false">IF($A51="","",IFERROR(INDEX('Fragrance Projects'!$L$5:$L$64,MATCH($A51,'Fragrance Projects'!$A$5:$A$64,0)),""))</f>
        <v/>
      </c>
      <c r="I51" s="20" t="str">
        <f aca="false">IF($A51="","",IF(AND(IFERROR(INDEX(Clients!$T$5:$T$44,MATCH($W51,Clients!$A$5:$A$44,0)),"")&lt;&gt;"",IFERROR(INDEX(Clients!$T$5:$T$44,MATCH($W51,Clients!$A$5:$A$44,0)),"")&lt;&gt;"Not Yet Agreed"),"Yes","No"))</f>
        <v/>
      </c>
      <c r="J51" s="30"/>
      <c r="K51" s="30"/>
      <c r="L51" s="30"/>
      <c r="M51" s="30"/>
      <c r="N51" s="30"/>
      <c r="O51" s="20" t="str">
        <f aca="false">IF($A51="","",IF(AND($Y51&lt;&gt;"",$Y51&gt;0,$X51&gt;0.4*$Y51),"Yes","No"))</f>
        <v/>
      </c>
      <c r="P51" s="20" t="str">
        <f aca="false">IF($A51="","",IF(AND($Z51&lt;&gt;"",$Z51&lt;0.15),"Yes","No"))</f>
        <v/>
      </c>
      <c r="Q51" s="20" t="str">
        <f aca="false">IF($A51="","",IF($AA51="Overdue","Yes","No"))</f>
        <v/>
      </c>
      <c r="R51" s="30"/>
      <c r="S51" s="30"/>
      <c r="T51" s="30"/>
      <c r="U51" s="20" t="str">
        <f aca="false">IF($A51="","",_xlfn.IFS((IF($D51="No",1,0)+IF($E51="No",1,0)+IF($F51="No",1,0)+IF($G51="No",1,0)+IF($I51="No",1,0)+IF($J51="No",1,0)+IF($K51="No",1,0)+IF($L51="Yes",1,0)+IF($M51="Yes",1,0)+IF($N51="Yes",1,0)+IF($O51="Yes",1,0)+IF($P51="Yes",1,0)+IF($Q51="Yes",1,0)+IF($R51="Yes",1,0)+IF($S51="No",1,0)+IF($T51="No",1,0))&lt;=2,"LOW",(IF($D51="No",1,0)+IF($E51="No",1,0)+IF($F51="No",1,0)+IF($G51="No",1,0)+IF($I51="No",1,0)+IF($J51="No",1,0)+IF($K51="No",1,0)+IF($L51="Yes",1,0)+IF($M51="Yes",1,0)+IF($N51="Yes",1,0)+IF($O51="Yes",1,0)+IF($P51="Yes",1,0)+IF($Q51="Yes",1,0)+IF($R51="Yes",1,0)+IF($S51="No",1,0)+IF($T51="No",1,0))&lt;=5,"MEDIUM",TRUE(),"HIGH"))</f>
        <v/>
      </c>
      <c r="V51" s="19" t="str">
        <f aca="false">IF($A51="","",IF(LEN(IF($D51="No","Scope undefined; ","")&amp;IF($E51="No","Brief unclear; ","")&amp;IF($F51="No","Contract not signed; ","")&amp;IF($G51="No","Deposit unpaid; ","")&amp;IF($I51="No","Ownership not agreed; ","")&amp;IF($J51="No","Deadline unrealistic; ","")&amp;IF($K51="No","Slow client response; ","")&amp;IF($L51="Yes","Brief keeps changing; ","")&amp;IF($M51="Yes","Extra work requested; ","")&amp;IF($N51="Yes","Exceeding expected hours; ","")&amp;IF($O51="Yes","Expenses over budget; ","")&amp;IF($P51="Yes","Margin too low; ","")&amp;IF($Q51="Yes","Payment overdue; ","")&amp;IF($R51="Yes","Scope creep; ","")&amp;IF($S51="No","Compliance unclear; ","")&amp;IF($T51="No","Manufacturing handover unclear; ",""))=0,"None — healthy",LEFT(IF($D51="No","Scope undefined; ","")&amp;IF($E51="No","Brief unclear; ","")&amp;IF($F51="No","Contract not signed; ","")&amp;IF($G51="No","Deposit unpaid; ","")&amp;IF($I51="No","Ownership not agreed; ","")&amp;IF($J51="No","Deadline unrealistic; ","")&amp;IF($K51="No","Slow client response; ","")&amp;IF($L51="Yes","Brief keeps changing; ","")&amp;IF($M51="Yes","Extra work requested; ","")&amp;IF($N51="Yes","Exceeding expected hours; ","")&amp;IF($O51="Yes","Expenses over budget; ","")&amp;IF($P51="Yes","Margin too low; ","")&amp;IF($Q51="Yes","Payment overdue; ","")&amp;IF($R51="Yes","Scope creep; ","")&amp;IF($S51="No","Compliance unclear; ","")&amp;IF($T51="No","Manufacturing handover unclear; ",""),LEN(IF($D51="No","Scope undefined; ","")&amp;IF($E51="No","Brief unclear; ","")&amp;IF($F51="No","Contract not signed; ","")&amp;IF($G51="No","Deposit unpaid; ","")&amp;IF($I51="No","Ownership not agreed; ","")&amp;IF($J51="No","Deadline unrealistic; ","")&amp;IF($K51="No","Slow client response; ","")&amp;IF($L51="Yes","Brief keeps changing; ","")&amp;IF($M51="Yes","Extra work requested; ","")&amp;IF($N51="Yes","Exceeding expected hours; ","")&amp;IF($O51="Yes","Expenses over budget; ","")&amp;IF($P51="Yes","Margin too low; ","")&amp;IF($Q51="Yes","Payment overdue; ","")&amp;IF($R51="Yes","Scope creep; ","")&amp;IF($S51="No","Compliance unclear; ","")&amp;IF($T51="No","Manufacturing handover unclear; ",""))-2)))</f>
        <v/>
      </c>
      <c r="W51" s="39" t="str">
        <f aca="false">IF($A51="","",IFERROR(INDEX('Fragrance Projects'!$B$5:$B$64,MATCH($A51,'Fragrance Projects'!$A$5:$A$64,0)),""))</f>
        <v/>
      </c>
      <c r="X51" s="39" t="str">
        <f aca="false">IF($A51="","",IFERROR(INDEX('Project Financials'!$U$5:$U$64,MATCH($A51,'Project Financials'!$A$5:$A$64,0)),""))</f>
        <v/>
      </c>
      <c r="Y51" s="39" t="str">
        <f aca="false">IF($A51="","",IFERROR(INDEX('Project Financials'!$D$5:$D$64,MATCH($A51,'Project Financials'!$A$5:$A$64,0)),""))</f>
        <v/>
      </c>
      <c r="Z51" s="39" t="str">
        <f aca="false">IF($A51="","",IFERROR(INDEX('Project Financials'!$AC$5:$AC$64,MATCH($A51,'Project Financials'!$A$5:$A$64,0)),""))</f>
        <v/>
      </c>
      <c r="AA51" s="39" t="str">
        <f aca="false">IF($A51="","",IFERROR(INDEX(Payments!$N$5:$N$64,MATCH($A51,Payments!$B$5:$B$64,0)),""))</f>
        <v/>
      </c>
    </row>
    <row r="52" customFormat="false" ht="21.75" hidden="false" customHeight="true" outlineLevel="0" collapsed="false">
      <c r="A52" s="30"/>
      <c r="B52" s="20" t="str">
        <f aca="false">IF($A52="","",IFERROR(INDEX('Fragrance Projects'!$C$5:$C$64,MATCH($A52,'Fragrance Projects'!$A$5:$A$64,0)),""))</f>
        <v/>
      </c>
      <c r="C52" s="20" t="str">
        <f aca="false">IF($A52="","",IFERROR(INDEX('Fragrance Projects'!$D$5:$D$64,MATCH($A52,'Fragrance Projects'!$A$5:$A$64,0)),""))</f>
        <v/>
      </c>
      <c r="D52" s="30"/>
      <c r="E52" s="30"/>
      <c r="F52" s="20" t="str">
        <f aca="false">IF($A52="","",IFERROR(INDEX(Clients!$R$5:$R$44,MATCH($W52,Clients!$A$5:$A$44,0)),""))</f>
        <v/>
      </c>
      <c r="G52" s="20" t="str">
        <f aca="false">IF($A52="","",IF(IFERROR(INDEX(Payments!$G$5:$G$64,MATCH($A52,Payments!$B$5:$B$64,0)),0)&gt;0,"Yes","No"))</f>
        <v/>
      </c>
      <c r="H52" s="20" t="str">
        <f aca="false">IF($A52="","",IFERROR(INDEX('Fragrance Projects'!$L$5:$L$64,MATCH($A52,'Fragrance Projects'!$A$5:$A$64,0)),""))</f>
        <v/>
      </c>
      <c r="I52" s="20" t="str">
        <f aca="false">IF($A52="","",IF(AND(IFERROR(INDEX(Clients!$T$5:$T$44,MATCH($W52,Clients!$A$5:$A$44,0)),"")&lt;&gt;"",IFERROR(INDEX(Clients!$T$5:$T$44,MATCH($W52,Clients!$A$5:$A$44,0)),"")&lt;&gt;"Not Yet Agreed"),"Yes","No"))</f>
        <v/>
      </c>
      <c r="J52" s="30"/>
      <c r="K52" s="30"/>
      <c r="L52" s="30"/>
      <c r="M52" s="30"/>
      <c r="N52" s="30"/>
      <c r="O52" s="20" t="str">
        <f aca="false">IF($A52="","",IF(AND($Y52&lt;&gt;"",$Y52&gt;0,$X52&gt;0.4*$Y52),"Yes","No"))</f>
        <v/>
      </c>
      <c r="P52" s="20" t="str">
        <f aca="false">IF($A52="","",IF(AND($Z52&lt;&gt;"",$Z52&lt;0.15),"Yes","No"))</f>
        <v/>
      </c>
      <c r="Q52" s="20" t="str">
        <f aca="false">IF($A52="","",IF($AA52="Overdue","Yes","No"))</f>
        <v/>
      </c>
      <c r="R52" s="30"/>
      <c r="S52" s="30"/>
      <c r="T52" s="30"/>
      <c r="U52" s="20" t="str">
        <f aca="false">IF($A52="","",_xlfn.IFS((IF($D52="No",1,0)+IF($E52="No",1,0)+IF($F52="No",1,0)+IF($G52="No",1,0)+IF($I52="No",1,0)+IF($J52="No",1,0)+IF($K52="No",1,0)+IF($L52="Yes",1,0)+IF($M52="Yes",1,0)+IF($N52="Yes",1,0)+IF($O52="Yes",1,0)+IF($P52="Yes",1,0)+IF($Q52="Yes",1,0)+IF($R52="Yes",1,0)+IF($S52="No",1,0)+IF($T52="No",1,0))&lt;=2,"LOW",(IF($D52="No",1,0)+IF($E52="No",1,0)+IF($F52="No",1,0)+IF($G52="No",1,0)+IF($I52="No",1,0)+IF($J52="No",1,0)+IF($K52="No",1,0)+IF($L52="Yes",1,0)+IF($M52="Yes",1,0)+IF($N52="Yes",1,0)+IF($O52="Yes",1,0)+IF($P52="Yes",1,0)+IF($Q52="Yes",1,0)+IF($R52="Yes",1,0)+IF($S52="No",1,0)+IF($T52="No",1,0))&lt;=5,"MEDIUM",TRUE(),"HIGH"))</f>
        <v/>
      </c>
      <c r="V52" s="19" t="str">
        <f aca="false">IF($A52="","",IF(LEN(IF($D52="No","Scope undefined; ","")&amp;IF($E52="No","Brief unclear; ","")&amp;IF($F52="No","Contract not signed; ","")&amp;IF($G52="No","Deposit unpaid; ","")&amp;IF($I52="No","Ownership not agreed; ","")&amp;IF($J52="No","Deadline unrealistic; ","")&amp;IF($K52="No","Slow client response; ","")&amp;IF($L52="Yes","Brief keeps changing; ","")&amp;IF($M52="Yes","Extra work requested; ","")&amp;IF($N52="Yes","Exceeding expected hours; ","")&amp;IF($O52="Yes","Expenses over budget; ","")&amp;IF($P52="Yes","Margin too low; ","")&amp;IF($Q52="Yes","Payment overdue; ","")&amp;IF($R52="Yes","Scope creep; ","")&amp;IF($S52="No","Compliance unclear; ","")&amp;IF($T52="No","Manufacturing handover unclear; ",""))=0,"None — healthy",LEFT(IF($D52="No","Scope undefined; ","")&amp;IF($E52="No","Brief unclear; ","")&amp;IF($F52="No","Contract not signed; ","")&amp;IF($G52="No","Deposit unpaid; ","")&amp;IF($I52="No","Ownership not agreed; ","")&amp;IF($J52="No","Deadline unrealistic; ","")&amp;IF($K52="No","Slow client response; ","")&amp;IF($L52="Yes","Brief keeps changing; ","")&amp;IF($M52="Yes","Extra work requested; ","")&amp;IF($N52="Yes","Exceeding expected hours; ","")&amp;IF($O52="Yes","Expenses over budget; ","")&amp;IF($P52="Yes","Margin too low; ","")&amp;IF($Q52="Yes","Payment overdue; ","")&amp;IF($R52="Yes","Scope creep; ","")&amp;IF($S52="No","Compliance unclear; ","")&amp;IF($T52="No","Manufacturing handover unclear; ",""),LEN(IF($D52="No","Scope undefined; ","")&amp;IF($E52="No","Brief unclear; ","")&amp;IF($F52="No","Contract not signed; ","")&amp;IF($G52="No","Deposit unpaid; ","")&amp;IF($I52="No","Ownership not agreed; ","")&amp;IF($J52="No","Deadline unrealistic; ","")&amp;IF($K52="No","Slow client response; ","")&amp;IF($L52="Yes","Brief keeps changing; ","")&amp;IF($M52="Yes","Extra work requested; ","")&amp;IF($N52="Yes","Exceeding expected hours; ","")&amp;IF($O52="Yes","Expenses over budget; ","")&amp;IF($P52="Yes","Margin too low; ","")&amp;IF($Q52="Yes","Payment overdue; ","")&amp;IF($R52="Yes","Scope creep; ","")&amp;IF($S52="No","Compliance unclear; ","")&amp;IF($T52="No","Manufacturing handover unclear; ",""))-2)))</f>
        <v/>
      </c>
      <c r="W52" s="39" t="str">
        <f aca="false">IF($A52="","",IFERROR(INDEX('Fragrance Projects'!$B$5:$B$64,MATCH($A52,'Fragrance Projects'!$A$5:$A$64,0)),""))</f>
        <v/>
      </c>
      <c r="X52" s="39" t="str">
        <f aca="false">IF($A52="","",IFERROR(INDEX('Project Financials'!$U$5:$U$64,MATCH($A52,'Project Financials'!$A$5:$A$64,0)),""))</f>
        <v/>
      </c>
      <c r="Y52" s="39" t="str">
        <f aca="false">IF($A52="","",IFERROR(INDEX('Project Financials'!$D$5:$D$64,MATCH($A52,'Project Financials'!$A$5:$A$64,0)),""))</f>
        <v/>
      </c>
      <c r="Z52" s="39" t="str">
        <f aca="false">IF($A52="","",IFERROR(INDEX('Project Financials'!$AC$5:$AC$64,MATCH($A52,'Project Financials'!$A$5:$A$64,0)),""))</f>
        <v/>
      </c>
      <c r="AA52" s="39" t="str">
        <f aca="false">IF($A52="","",IFERROR(INDEX(Payments!$N$5:$N$64,MATCH($A52,Payments!$B$5:$B$64,0)),""))</f>
        <v/>
      </c>
    </row>
    <row r="53" customFormat="false" ht="21.75" hidden="false" customHeight="true" outlineLevel="0" collapsed="false">
      <c r="A53" s="30"/>
      <c r="B53" s="20" t="str">
        <f aca="false">IF($A53="","",IFERROR(INDEX('Fragrance Projects'!$C$5:$C$64,MATCH($A53,'Fragrance Projects'!$A$5:$A$64,0)),""))</f>
        <v/>
      </c>
      <c r="C53" s="20" t="str">
        <f aca="false">IF($A53="","",IFERROR(INDEX('Fragrance Projects'!$D$5:$D$64,MATCH($A53,'Fragrance Projects'!$A$5:$A$64,0)),""))</f>
        <v/>
      </c>
      <c r="D53" s="30"/>
      <c r="E53" s="30"/>
      <c r="F53" s="20" t="str">
        <f aca="false">IF($A53="","",IFERROR(INDEX(Clients!$R$5:$R$44,MATCH($W53,Clients!$A$5:$A$44,0)),""))</f>
        <v/>
      </c>
      <c r="G53" s="20" t="str">
        <f aca="false">IF($A53="","",IF(IFERROR(INDEX(Payments!$G$5:$G$64,MATCH($A53,Payments!$B$5:$B$64,0)),0)&gt;0,"Yes","No"))</f>
        <v/>
      </c>
      <c r="H53" s="20" t="str">
        <f aca="false">IF($A53="","",IFERROR(INDEX('Fragrance Projects'!$L$5:$L$64,MATCH($A53,'Fragrance Projects'!$A$5:$A$64,0)),""))</f>
        <v/>
      </c>
      <c r="I53" s="20" t="str">
        <f aca="false">IF($A53="","",IF(AND(IFERROR(INDEX(Clients!$T$5:$T$44,MATCH($W53,Clients!$A$5:$A$44,0)),"")&lt;&gt;"",IFERROR(INDEX(Clients!$T$5:$T$44,MATCH($W53,Clients!$A$5:$A$44,0)),"")&lt;&gt;"Not Yet Agreed"),"Yes","No"))</f>
        <v/>
      </c>
      <c r="J53" s="30"/>
      <c r="K53" s="30"/>
      <c r="L53" s="30"/>
      <c r="M53" s="30"/>
      <c r="N53" s="30"/>
      <c r="O53" s="20" t="str">
        <f aca="false">IF($A53="","",IF(AND($Y53&lt;&gt;"",$Y53&gt;0,$X53&gt;0.4*$Y53),"Yes","No"))</f>
        <v/>
      </c>
      <c r="P53" s="20" t="str">
        <f aca="false">IF($A53="","",IF(AND($Z53&lt;&gt;"",$Z53&lt;0.15),"Yes","No"))</f>
        <v/>
      </c>
      <c r="Q53" s="20" t="str">
        <f aca="false">IF($A53="","",IF($AA53="Overdue","Yes","No"))</f>
        <v/>
      </c>
      <c r="R53" s="30"/>
      <c r="S53" s="30"/>
      <c r="T53" s="30"/>
      <c r="U53" s="20" t="str">
        <f aca="false">IF($A53="","",_xlfn.IFS((IF($D53="No",1,0)+IF($E53="No",1,0)+IF($F53="No",1,0)+IF($G53="No",1,0)+IF($I53="No",1,0)+IF($J53="No",1,0)+IF($K53="No",1,0)+IF($L53="Yes",1,0)+IF($M53="Yes",1,0)+IF($N53="Yes",1,0)+IF($O53="Yes",1,0)+IF($P53="Yes",1,0)+IF($Q53="Yes",1,0)+IF($R53="Yes",1,0)+IF($S53="No",1,0)+IF($T53="No",1,0))&lt;=2,"LOW",(IF($D53="No",1,0)+IF($E53="No",1,0)+IF($F53="No",1,0)+IF($G53="No",1,0)+IF($I53="No",1,0)+IF($J53="No",1,0)+IF($K53="No",1,0)+IF($L53="Yes",1,0)+IF($M53="Yes",1,0)+IF($N53="Yes",1,0)+IF($O53="Yes",1,0)+IF($P53="Yes",1,0)+IF($Q53="Yes",1,0)+IF($R53="Yes",1,0)+IF($S53="No",1,0)+IF($T53="No",1,0))&lt;=5,"MEDIUM",TRUE(),"HIGH"))</f>
        <v/>
      </c>
      <c r="V53" s="19" t="str">
        <f aca="false">IF($A53="","",IF(LEN(IF($D53="No","Scope undefined; ","")&amp;IF($E53="No","Brief unclear; ","")&amp;IF($F53="No","Contract not signed; ","")&amp;IF($G53="No","Deposit unpaid; ","")&amp;IF($I53="No","Ownership not agreed; ","")&amp;IF($J53="No","Deadline unrealistic; ","")&amp;IF($K53="No","Slow client response; ","")&amp;IF($L53="Yes","Brief keeps changing; ","")&amp;IF($M53="Yes","Extra work requested; ","")&amp;IF($N53="Yes","Exceeding expected hours; ","")&amp;IF($O53="Yes","Expenses over budget; ","")&amp;IF($P53="Yes","Margin too low; ","")&amp;IF($Q53="Yes","Payment overdue; ","")&amp;IF($R53="Yes","Scope creep; ","")&amp;IF($S53="No","Compliance unclear; ","")&amp;IF($T53="No","Manufacturing handover unclear; ",""))=0,"None — healthy",LEFT(IF($D53="No","Scope undefined; ","")&amp;IF($E53="No","Brief unclear; ","")&amp;IF($F53="No","Contract not signed; ","")&amp;IF($G53="No","Deposit unpaid; ","")&amp;IF($I53="No","Ownership not agreed; ","")&amp;IF($J53="No","Deadline unrealistic; ","")&amp;IF($K53="No","Slow client response; ","")&amp;IF($L53="Yes","Brief keeps changing; ","")&amp;IF($M53="Yes","Extra work requested; ","")&amp;IF($N53="Yes","Exceeding expected hours; ","")&amp;IF($O53="Yes","Expenses over budget; ","")&amp;IF($P53="Yes","Margin too low; ","")&amp;IF($Q53="Yes","Payment overdue; ","")&amp;IF($R53="Yes","Scope creep; ","")&amp;IF($S53="No","Compliance unclear; ","")&amp;IF($T53="No","Manufacturing handover unclear; ",""),LEN(IF($D53="No","Scope undefined; ","")&amp;IF($E53="No","Brief unclear; ","")&amp;IF($F53="No","Contract not signed; ","")&amp;IF($G53="No","Deposit unpaid; ","")&amp;IF($I53="No","Ownership not agreed; ","")&amp;IF($J53="No","Deadline unrealistic; ","")&amp;IF($K53="No","Slow client response; ","")&amp;IF($L53="Yes","Brief keeps changing; ","")&amp;IF($M53="Yes","Extra work requested; ","")&amp;IF($N53="Yes","Exceeding expected hours; ","")&amp;IF($O53="Yes","Expenses over budget; ","")&amp;IF($P53="Yes","Margin too low; ","")&amp;IF($Q53="Yes","Payment overdue; ","")&amp;IF($R53="Yes","Scope creep; ","")&amp;IF($S53="No","Compliance unclear; ","")&amp;IF($T53="No","Manufacturing handover unclear; ",""))-2)))</f>
        <v/>
      </c>
      <c r="W53" s="39" t="str">
        <f aca="false">IF($A53="","",IFERROR(INDEX('Fragrance Projects'!$B$5:$B$64,MATCH($A53,'Fragrance Projects'!$A$5:$A$64,0)),""))</f>
        <v/>
      </c>
      <c r="X53" s="39" t="str">
        <f aca="false">IF($A53="","",IFERROR(INDEX('Project Financials'!$U$5:$U$64,MATCH($A53,'Project Financials'!$A$5:$A$64,0)),""))</f>
        <v/>
      </c>
      <c r="Y53" s="39" t="str">
        <f aca="false">IF($A53="","",IFERROR(INDEX('Project Financials'!$D$5:$D$64,MATCH($A53,'Project Financials'!$A$5:$A$64,0)),""))</f>
        <v/>
      </c>
      <c r="Z53" s="39" t="str">
        <f aca="false">IF($A53="","",IFERROR(INDEX('Project Financials'!$AC$5:$AC$64,MATCH($A53,'Project Financials'!$A$5:$A$64,0)),""))</f>
        <v/>
      </c>
      <c r="AA53" s="39" t="str">
        <f aca="false">IF($A53="","",IFERROR(INDEX(Payments!$N$5:$N$64,MATCH($A53,Payments!$B$5:$B$64,0)),""))</f>
        <v/>
      </c>
    </row>
    <row r="54" customFormat="false" ht="21.75" hidden="false" customHeight="true" outlineLevel="0" collapsed="false">
      <c r="A54" s="30"/>
      <c r="B54" s="20" t="str">
        <f aca="false">IF($A54="","",IFERROR(INDEX('Fragrance Projects'!$C$5:$C$64,MATCH($A54,'Fragrance Projects'!$A$5:$A$64,0)),""))</f>
        <v/>
      </c>
      <c r="C54" s="20" t="str">
        <f aca="false">IF($A54="","",IFERROR(INDEX('Fragrance Projects'!$D$5:$D$64,MATCH($A54,'Fragrance Projects'!$A$5:$A$64,0)),""))</f>
        <v/>
      </c>
      <c r="D54" s="30"/>
      <c r="E54" s="30"/>
      <c r="F54" s="20" t="str">
        <f aca="false">IF($A54="","",IFERROR(INDEX(Clients!$R$5:$R$44,MATCH($W54,Clients!$A$5:$A$44,0)),""))</f>
        <v/>
      </c>
      <c r="G54" s="20" t="str">
        <f aca="false">IF($A54="","",IF(IFERROR(INDEX(Payments!$G$5:$G$64,MATCH($A54,Payments!$B$5:$B$64,0)),0)&gt;0,"Yes","No"))</f>
        <v/>
      </c>
      <c r="H54" s="20" t="str">
        <f aca="false">IF($A54="","",IFERROR(INDEX('Fragrance Projects'!$L$5:$L$64,MATCH($A54,'Fragrance Projects'!$A$5:$A$64,0)),""))</f>
        <v/>
      </c>
      <c r="I54" s="20" t="str">
        <f aca="false">IF($A54="","",IF(AND(IFERROR(INDEX(Clients!$T$5:$T$44,MATCH($W54,Clients!$A$5:$A$44,0)),"")&lt;&gt;"",IFERROR(INDEX(Clients!$T$5:$T$44,MATCH($W54,Clients!$A$5:$A$44,0)),"")&lt;&gt;"Not Yet Agreed"),"Yes","No"))</f>
        <v/>
      </c>
      <c r="J54" s="30"/>
      <c r="K54" s="30"/>
      <c r="L54" s="30"/>
      <c r="M54" s="30"/>
      <c r="N54" s="30"/>
      <c r="O54" s="20" t="str">
        <f aca="false">IF($A54="","",IF(AND($Y54&lt;&gt;"",$Y54&gt;0,$X54&gt;0.4*$Y54),"Yes","No"))</f>
        <v/>
      </c>
      <c r="P54" s="20" t="str">
        <f aca="false">IF($A54="","",IF(AND($Z54&lt;&gt;"",$Z54&lt;0.15),"Yes","No"))</f>
        <v/>
      </c>
      <c r="Q54" s="20" t="str">
        <f aca="false">IF($A54="","",IF($AA54="Overdue","Yes","No"))</f>
        <v/>
      </c>
      <c r="R54" s="30"/>
      <c r="S54" s="30"/>
      <c r="T54" s="30"/>
      <c r="U54" s="20" t="str">
        <f aca="false">IF($A54="","",_xlfn.IFS((IF($D54="No",1,0)+IF($E54="No",1,0)+IF($F54="No",1,0)+IF($G54="No",1,0)+IF($I54="No",1,0)+IF($J54="No",1,0)+IF($K54="No",1,0)+IF($L54="Yes",1,0)+IF($M54="Yes",1,0)+IF($N54="Yes",1,0)+IF($O54="Yes",1,0)+IF($P54="Yes",1,0)+IF($Q54="Yes",1,0)+IF($R54="Yes",1,0)+IF($S54="No",1,0)+IF($T54="No",1,0))&lt;=2,"LOW",(IF($D54="No",1,0)+IF($E54="No",1,0)+IF($F54="No",1,0)+IF($G54="No",1,0)+IF($I54="No",1,0)+IF($J54="No",1,0)+IF($K54="No",1,0)+IF($L54="Yes",1,0)+IF($M54="Yes",1,0)+IF($N54="Yes",1,0)+IF($O54="Yes",1,0)+IF($P54="Yes",1,0)+IF($Q54="Yes",1,0)+IF($R54="Yes",1,0)+IF($S54="No",1,0)+IF($T54="No",1,0))&lt;=5,"MEDIUM",TRUE(),"HIGH"))</f>
        <v/>
      </c>
      <c r="V54" s="19" t="str">
        <f aca="false">IF($A54="","",IF(LEN(IF($D54="No","Scope undefined; ","")&amp;IF($E54="No","Brief unclear; ","")&amp;IF($F54="No","Contract not signed; ","")&amp;IF($G54="No","Deposit unpaid; ","")&amp;IF($I54="No","Ownership not agreed; ","")&amp;IF($J54="No","Deadline unrealistic; ","")&amp;IF($K54="No","Slow client response; ","")&amp;IF($L54="Yes","Brief keeps changing; ","")&amp;IF($M54="Yes","Extra work requested; ","")&amp;IF($N54="Yes","Exceeding expected hours; ","")&amp;IF($O54="Yes","Expenses over budget; ","")&amp;IF($P54="Yes","Margin too low; ","")&amp;IF($Q54="Yes","Payment overdue; ","")&amp;IF($R54="Yes","Scope creep; ","")&amp;IF($S54="No","Compliance unclear; ","")&amp;IF($T54="No","Manufacturing handover unclear; ",""))=0,"None — healthy",LEFT(IF($D54="No","Scope undefined; ","")&amp;IF($E54="No","Brief unclear; ","")&amp;IF($F54="No","Contract not signed; ","")&amp;IF($G54="No","Deposit unpaid; ","")&amp;IF($I54="No","Ownership not agreed; ","")&amp;IF($J54="No","Deadline unrealistic; ","")&amp;IF($K54="No","Slow client response; ","")&amp;IF($L54="Yes","Brief keeps changing; ","")&amp;IF($M54="Yes","Extra work requested; ","")&amp;IF($N54="Yes","Exceeding expected hours; ","")&amp;IF($O54="Yes","Expenses over budget; ","")&amp;IF($P54="Yes","Margin too low; ","")&amp;IF($Q54="Yes","Payment overdue; ","")&amp;IF($R54="Yes","Scope creep; ","")&amp;IF($S54="No","Compliance unclear; ","")&amp;IF($T54="No","Manufacturing handover unclear; ",""),LEN(IF($D54="No","Scope undefined; ","")&amp;IF($E54="No","Brief unclear; ","")&amp;IF($F54="No","Contract not signed; ","")&amp;IF($G54="No","Deposit unpaid; ","")&amp;IF($I54="No","Ownership not agreed; ","")&amp;IF($J54="No","Deadline unrealistic; ","")&amp;IF($K54="No","Slow client response; ","")&amp;IF($L54="Yes","Brief keeps changing; ","")&amp;IF($M54="Yes","Extra work requested; ","")&amp;IF($N54="Yes","Exceeding expected hours; ","")&amp;IF($O54="Yes","Expenses over budget; ","")&amp;IF($P54="Yes","Margin too low; ","")&amp;IF($Q54="Yes","Payment overdue; ","")&amp;IF($R54="Yes","Scope creep; ","")&amp;IF($S54="No","Compliance unclear; ","")&amp;IF($T54="No","Manufacturing handover unclear; ",""))-2)))</f>
        <v/>
      </c>
      <c r="W54" s="39" t="str">
        <f aca="false">IF($A54="","",IFERROR(INDEX('Fragrance Projects'!$B$5:$B$64,MATCH($A54,'Fragrance Projects'!$A$5:$A$64,0)),""))</f>
        <v/>
      </c>
      <c r="X54" s="39" t="str">
        <f aca="false">IF($A54="","",IFERROR(INDEX('Project Financials'!$U$5:$U$64,MATCH($A54,'Project Financials'!$A$5:$A$64,0)),""))</f>
        <v/>
      </c>
      <c r="Y54" s="39" t="str">
        <f aca="false">IF($A54="","",IFERROR(INDEX('Project Financials'!$D$5:$D$64,MATCH($A54,'Project Financials'!$A$5:$A$64,0)),""))</f>
        <v/>
      </c>
      <c r="Z54" s="39" t="str">
        <f aca="false">IF($A54="","",IFERROR(INDEX('Project Financials'!$AC$5:$AC$64,MATCH($A54,'Project Financials'!$A$5:$A$64,0)),""))</f>
        <v/>
      </c>
      <c r="AA54" s="39" t="str">
        <f aca="false">IF($A54="","",IFERROR(INDEX(Payments!$N$5:$N$64,MATCH($A54,Payments!$B$5:$B$64,0)),""))</f>
        <v/>
      </c>
    </row>
    <row r="55" customFormat="false" ht="21.75" hidden="false" customHeight="true" outlineLevel="0" collapsed="false">
      <c r="A55" s="30"/>
      <c r="B55" s="20" t="str">
        <f aca="false">IF($A55="","",IFERROR(INDEX('Fragrance Projects'!$C$5:$C$64,MATCH($A55,'Fragrance Projects'!$A$5:$A$64,0)),""))</f>
        <v/>
      </c>
      <c r="C55" s="20" t="str">
        <f aca="false">IF($A55="","",IFERROR(INDEX('Fragrance Projects'!$D$5:$D$64,MATCH($A55,'Fragrance Projects'!$A$5:$A$64,0)),""))</f>
        <v/>
      </c>
      <c r="D55" s="30"/>
      <c r="E55" s="30"/>
      <c r="F55" s="20" t="str">
        <f aca="false">IF($A55="","",IFERROR(INDEX(Clients!$R$5:$R$44,MATCH($W55,Clients!$A$5:$A$44,0)),""))</f>
        <v/>
      </c>
      <c r="G55" s="20" t="str">
        <f aca="false">IF($A55="","",IF(IFERROR(INDEX(Payments!$G$5:$G$64,MATCH($A55,Payments!$B$5:$B$64,0)),0)&gt;0,"Yes","No"))</f>
        <v/>
      </c>
      <c r="H55" s="20" t="str">
        <f aca="false">IF($A55="","",IFERROR(INDEX('Fragrance Projects'!$L$5:$L$64,MATCH($A55,'Fragrance Projects'!$A$5:$A$64,0)),""))</f>
        <v/>
      </c>
      <c r="I55" s="20" t="str">
        <f aca="false">IF($A55="","",IF(AND(IFERROR(INDEX(Clients!$T$5:$T$44,MATCH($W55,Clients!$A$5:$A$44,0)),"")&lt;&gt;"",IFERROR(INDEX(Clients!$T$5:$T$44,MATCH($W55,Clients!$A$5:$A$44,0)),"")&lt;&gt;"Not Yet Agreed"),"Yes","No"))</f>
        <v/>
      </c>
      <c r="J55" s="30"/>
      <c r="K55" s="30"/>
      <c r="L55" s="30"/>
      <c r="M55" s="30"/>
      <c r="N55" s="30"/>
      <c r="O55" s="20" t="str">
        <f aca="false">IF($A55="","",IF(AND($Y55&lt;&gt;"",$Y55&gt;0,$X55&gt;0.4*$Y55),"Yes","No"))</f>
        <v/>
      </c>
      <c r="P55" s="20" t="str">
        <f aca="false">IF($A55="","",IF(AND($Z55&lt;&gt;"",$Z55&lt;0.15),"Yes","No"))</f>
        <v/>
      </c>
      <c r="Q55" s="20" t="str">
        <f aca="false">IF($A55="","",IF($AA55="Overdue","Yes","No"))</f>
        <v/>
      </c>
      <c r="R55" s="30"/>
      <c r="S55" s="30"/>
      <c r="T55" s="30"/>
      <c r="U55" s="20" t="str">
        <f aca="false">IF($A55="","",_xlfn.IFS((IF($D55="No",1,0)+IF($E55="No",1,0)+IF($F55="No",1,0)+IF($G55="No",1,0)+IF($I55="No",1,0)+IF($J55="No",1,0)+IF($K55="No",1,0)+IF($L55="Yes",1,0)+IF($M55="Yes",1,0)+IF($N55="Yes",1,0)+IF($O55="Yes",1,0)+IF($P55="Yes",1,0)+IF($Q55="Yes",1,0)+IF($R55="Yes",1,0)+IF($S55="No",1,0)+IF($T55="No",1,0))&lt;=2,"LOW",(IF($D55="No",1,0)+IF($E55="No",1,0)+IF($F55="No",1,0)+IF($G55="No",1,0)+IF($I55="No",1,0)+IF($J55="No",1,0)+IF($K55="No",1,0)+IF($L55="Yes",1,0)+IF($M55="Yes",1,0)+IF($N55="Yes",1,0)+IF($O55="Yes",1,0)+IF($P55="Yes",1,0)+IF($Q55="Yes",1,0)+IF($R55="Yes",1,0)+IF($S55="No",1,0)+IF($T55="No",1,0))&lt;=5,"MEDIUM",TRUE(),"HIGH"))</f>
        <v/>
      </c>
      <c r="V55" s="19" t="str">
        <f aca="false">IF($A55="","",IF(LEN(IF($D55="No","Scope undefined; ","")&amp;IF($E55="No","Brief unclear; ","")&amp;IF($F55="No","Contract not signed; ","")&amp;IF($G55="No","Deposit unpaid; ","")&amp;IF($I55="No","Ownership not agreed; ","")&amp;IF($J55="No","Deadline unrealistic; ","")&amp;IF($K55="No","Slow client response; ","")&amp;IF($L55="Yes","Brief keeps changing; ","")&amp;IF($M55="Yes","Extra work requested; ","")&amp;IF($N55="Yes","Exceeding expected hours; ","")&amp;IF($O55="Yes","Expenses over budget; ","")&amp;IF($P55="Yes","Margin too low; ","")&amp;IF($Q55="Yes","Payment overdue; ","")&amp;IF($R55="Yes","Scope creep; ","")&amp;IF($S55="No","Compliance unclear; ","")&amp;IF($T55="No","Manufacturing handover unclear; ",""))=0,"None — healthy",LEFT(IF($D55="No","Scope undefined; ","")&amp;IF($E55="No","Brief unclear; ","")&amp;IF($F55="No","Contract not signed; ","")&amp;IF($G55="No","Deposit unpaid; ","")&amp;IF($I55="No","Ownership not agreed; ","")&amp;IF($J55="No","Deadline unrealistic; ","")&amp;IF($K55="No","Slow client response; ","")&amp;IF($L55="Yes","Brief keeps changing; ","")&amp;IF($M55="Yes","Extra work requested; ","")&amp;IF($N55="Yes","Exceeding expected hours; ","")&amp;IF($O55="Yes","Expenses over budget; ","")&amp;IF($P55="Yes","Margin too low; ","")&amp;IF($Q55="Yes","Payment overdue; ","")&amp;IF($R55="Yes","Scope creep; ","")&amp;IF($S55="No","Compliance unclear; ","")&amp;IF($T55="No","Manufacturing handover unclear; ",""),LEN(IF($D55="No","Scope undefined; ","")&amp;IF($E55="No","Brief unclear; ","")&amp;IF($F55="No","Contract not signed; ","")&amp;IF($G55="No","Deposit unpaid; ","")&amp;IF($I55="No","Ownership not agreed; ","")&amp;IF($J55="No","Deadline unrealistic; ","")&amp;IF($K55="No","Slow client response; ","")&amp;IF($L55="Yes","Brief keeps changing; ","")&amp;IF($M55="Yes","Extra work requested; ","")&amp;IF($N55="Yes","Exceeding expected hours; ","")&amp;IF($O55="Yes","Expenses over budget; ","")&amp;IF($P55="Yes","Margin too low; ","")&amp;IF($Q55="Yes","Payment overdue; ","")&amp;IF($R55="Yes","Scope creep; ","")&amp;IF($S55="No","Compliance unclear; ","")&amp;IF($T55="No","Manufacturing handover unclear; ",""))-2)))</f>
        <v/>
      </c>
      <c r="W55" s="39" t="str">
        <f aca="false">IF($A55="","",IFERROR(INDEX('Fragrance Projects'!$B$5:$B$64,MATCH($A55,'Fragrance Projects'!$A$5:$A$64,0)),""))</f>
        <v/>
      </c>
      <c r="X55" s="39" t="str">
        <f aca="false">IF($A55="","",IFERROR(INDEX('Project Financials'!$U$5:$U$64,MATCH($A55,'Project Financials'!$A$5:$A$64,0)),""))</f>
        <v/>
      </c>
      <c r="Y55" s="39" t="str">
        <f aca="false">IF($A55="","",IFERROR(INDEX('Project Financials'!$D$5:$D$64,MATCH($A55,'Project Financials'!$A$5:$A$64,0)),""))</f>
        <v/>
      </c>
      <c r="Z55" s="39" t="str">
        <f aca="false">IF($A55="","",IFERROR(INDEX('Project Financials'!$AC$5:$AC$64,MATCH($A55,'Project Financials'!$A$5:$A$64,0)),""))</f>
        <v/>
      </c>
      <c r="AA55" s="39" t="str">
        <f aca="false">IF($A55="","",IFERROR(INDEX(Payments!$N$5:$N$64,MATCH($A55,Payments!$B$5:$B$64,0)),""))</f>
        <v/>
      </c>
    </row>
    <row r="56" customFormat="false" ht="21.75" hidden="false" customHeight="true" outlineLevel="0" collapsed="false">
      <c r="A56" s="30"/>
      <c r="B56" s="20" t="str">
        <f aca="false">IF($A56="","",IFERROR(INDEX('Fragrance Projects'!$C$5:$C$64,MATCH($A56,'Fragrance Projects'!$A$5:$A$64,0)),""))</f>
        <v/>
      </c>
      <c r="C56" s="20" t="str">
        <f aca="false">IF($A56="","",IFERROR(INDEX('Fragrance Projects'!$D$5:$D$64,MATCH($A56,'Fragrance Projects'!$A$5:$A$64,0)),""))</f>
        <v/>
      </c>
      <c r="D56" s="30"/>
      <c r="E56" s="30"/>
      <c r="F56" s="20" t="str">
        <f aca="false">IF($A56="","",IFERROR(INDEX(Clients!$R$5:$R$44,MATCH($W56,Clients!$A$5:$A$44,0)),""))</f>
        <v/>
      </c>
      <c r="G56" s="20" t="str">
        <f aca="false">IF($A56="","",IF(IFERROR(INDEX(Payments!$G$5:$G$64,MATCH($A56,Payments!$B$5:$B$64,0)),0)&gt;0,"Yes","No"))</f>
        <v/>
      </c>
      <c r="H56" s="20" t="str">
        <f aca="false">IF($A56="","",IFERROR(INDEX('Fragrance Projects'!$L$5:$L$64,MATCH($A56,'Fragrance Projects'!$A$5:$A$64,0)),""))</f>
        <v/>
      </c>
      <c r="I56" s="20" t="str">
        <f aca="false">IF($A56="","",IF(AND(IFERROR(INDEX(Clients!$T$5:$T$44,MATCH($W56,Clients!$A$5:$A$44,0)),"")&lt;&gt;"",IFERROR(INDEX(Clients!$T$5:$T$44,MATCH($W56,Clients!$A$5:$A$44,0)),"")&lt;&gt;"Not Yet Agreed"),"Yes","No"))</f>
        <v/>
      </c>
      <c r="J56" s="30"/>
      <c r="K56" s="30"/>
      <c r="L56" s="30"/>
      <c r="M56" s="30"/>
      <c r="N56" s="30"/>
      <c r="O56" s="20" t="str">
        <f aca="false">IF($A56="","",IF(AND($Y56&lt;&gt;"",$Y56&gt;0,$X56&gt;0.4*$Y56),"Yes","No"))</f>
        <v/>
      </c>
      <c r="P56" s="20" t="str">
        <f aca="false">IF($A56="","",IF(AND($Z56&lt;&gt;"",$Z56&lt;0.15),"Yes","No"))</f>
        <v/>
      </c>
      <c r="Q56" s="20" t="str">
        <f aca="false">IF($A56="","",IF($AA56="Overdue","Yes","No"))</f>
        <v/>
      </c>
      <c r="R56" s="30"/>
      <c r="S56" s="30"/>
      <c r="T56" s="30"/>
      <c r="U56" s="20" t="str">
        <f aca="false">IF($A56="","",_xlfn.IFS((IF($D56="No",1,0)+IF($E56="No",1,0)+IF($F56="No",1,0)+IF($G56="No",1,0)+IF($I56="No",1,0)+IF($J56="No",1,0)+IF($K56="No",1,0)+IF($L56="Yes",1,0)+IF($M56="Yes",1,0)+IF($N56="Yes",1,0)+IF($O56="Yes",1,0)+IF($P56="Yes",1,0)+IF($Q56="Yes",1,0)+IF($R56="Yes",1,0)+IF($S56="No",1,0)+IF($T56="No",1,0))&lt;=2,"LOW",(IF($D56="No",1,0)+IF($E56="No",1,0)+IF($F56="No",1,0)+IF($G56="No",1,0)+IF($I56="No",1,0)+IF($J56="No",1,0)+IF($K56="No",1,0)+IF($L56="Yes",1,0)+IF($M56="Yes",1,0)+IF($N56="Yes",1,0)+IF($O56="Yes",1,0)+IF($P56="Yes",1,0)+IF($Q56="Yes",1,0)+IF($R56="Yes",1,0)+IF($S56="No",1,0)+IF($T56="No",1,0))&lt;=5,"MEDIUM",TRUE(),"HIGH"))</f>
        <v/>
      </c>
      <c r="V56" s="19" t="str">
        <f aca="false">IF($A56="","",IF(LEN(IF($D56="No","Scope undefined; ","")&amp;IF($E56="No","Brief unclear; ","")&amp;IF($F56="No","Contract not signed; ","")&amp;IF($G56="No","Deposit unpaid; ","")&amp;IF($I56="No","Ownership not agreed; ","")&amp;IF($J56="No","Deadline unrealistic; ","")&amp;IF($K56="No","Slow client response; ","")&amp;IF($L56="Yes","Brief keeps changing; ","")&amp;IF($M56="Yes","Extra work requested; ","")&amp;IF($N56="Yes","Exceeding expected hours; ","")&amp;IF($O56="Yes","Expenses over budget; ","")&amp;IF($P56="Yes","Margin too low; ","")&amp;IF($Q56="Yes","Payment overdue; ","")&amp;IF($R56="Yes","Scope creep; ","")&amp;IF($S56="No","Compliance unclear; ","")&amp;IF($T56="No","Manufacturing handover unclear; ",""))=0,"None — healthy",LEFT(IF($D56="No","Scope undefined; ","")&amp;IF($E56="No","Brief unclear; ","")&amp;IF($F56="No","Contract not signed; ","")&amp;IF($G56="No","Deposit unpaid; ","")&amp;IF($I56="No","Ownership not agreed; ","")&amp;IF($J56="No","Deadline unrealistic; ","")&amp;IF($K56="No","Slow client response; ","")&amp;IF($L56="Yes","Brief keeps changing; ","")&amp;IF($M56="Yes","Extra work requested; ","")&amp;IF($N56="Yes","Exceeding expected hours; ","")&amp;IF($O56="Yes","Expenses over budget; ","")&amp;IF($P56="Yes","Margin too low; ","")&amp;IF($Q56="Yes","Payment overdue; ","")&amp;IF($R56="Yes","Scope creep; ","")&amp;IF($S56="No","Compliance unclear; ","")&amp;IF($T56="No","Manufacturing handover unclear; ",""),LEN(IF($D56="No","Scope undefined; ","")&amp;IF($E56="No","Brief unclear; ","")&amp;IF($F56="No","Contract not signed; ","")&amp;IF($G56="No","Deposit unpaid; ","")&amp;IF($I56="No","Ownership not agreed; ","")&amp;IF($J56="No","Deadline unrealistic; ","")&amp;IF($K56="No","Slow client response; ","")&amp;IF($L56="Yes","Brief keeps changing; ","")&amp;IF($M56="Yes","Extra work requested; ","")&amp;IF($N56="Yes","Exceeding expected hours; ","")&amp;IF($O56="Yes","Expenses over budget; ","")&amp;IF($P56="Yes","Margin too low; ","")&amp;IF($Q56="Yes","Payment overdue; ","")&amp;IF($R56="Yes","Scope creep; ","")&amp;IF($S56="No","Compliance unclear; ","")&amp;IF($T56="No","Manufacturing handover unclear; ",""))-2)))</f>
        <v/>
      </c>
      <c r="W56" s="39" t="str">
        <f aca="false">IF($A56="","",IFERROR(INDEX('Fragrance Projects'!$B$5:$B$64,MATCH($A56,'Fragrance Projects'!$A$5:$A$64,0)),""))</f>
        <v/>
      </c>
      <c r="X56" s="39" t="str">
        <f aca="false">IF($A56="","",IFERROR(INDEX('Project Financials'!$U$5:$U$64,MATCH($A56,'Project Financials'!$A$5:$A$64,0)),""))</f>
        <v/>
      </c>
      <c r="Y56" s="39" t="str">
        <f aca="false">IF($A56="","",IFERROR(INDEX('Project Financials'!$D$5:$D$64,MATCH($A56,'Project Financials'!$A$5:$A$64,0)),""))</f>
        <v/>
      </c>
      <c r="Z56" s="39" t="str">
        <f aca="false">IF($A56="","",IFERROR(INDEX('Project Financials'!$AC$5:$AC$64,MATCH($A56,'Project Financials'!$A$5:$A$64,0)),""))</f>
        <v/>
      </c>
      <c r="AA56" s="39" t="str">
        <f aca="false">IF($A56="","",IFERROR(INDEX(Payments!$N$5:$N$64,MATCH($A56,Payments!$B$5:$B$64,0)),""))</f>
        <v/>
      </c>
    </row>
    <row r="57" customFormat="false" ht="21.75" hidden="false" customHeight="true" outlineLevel="0" collapsed="false">
      <c r="A57" s="30"/>
      <c r="B57" s="20" t="str">
        <f aca="false">IF($A57="","",IFERROR(INDEX('Fragrance Projects'!$C$5:$C$64,MATCH($A57,'Fragrance Projects'!$A$5:$A$64,0)),""))</f>
        <v/>
      </c>
      <c r="C57" s="20" t="str">
        <f aca="false">IF($A57="","",IFERROR(INDEX('Fragrance Projects'!$D$5:$D$64,MATCH($A57,'Fragrance Projects'!$A$5:$A$64,0)),""))</f>
        <v/>
      </c>
      <c r="D57" s="30"/>
      <c r="E57" s="30"/>
      <c r="F57" s="20" t="str">
        <f aca="false">IF($A57="","",IFERROR(INDEX(Clients!$R$5:$R$44,MATCH($W57,Clients!$A$5:$A$44,0)),""))</f>
        <v/>
      </c>
      <c r="G57" s="20" t="str">
        <f aca="false">IF($A57="","",IF(IFERROR(INDEX(Payments!$G$5:$G$64,MATCH($A57,Payments!$B$5:$B$64,0)),0)&gt;0,"Yes","No"))</f>
        <v/>
      </c>
      <c r="H57" s="20" t="str">
        <f aca="false">IF($A57="","",IFERROR(INDEX('Fragrance Projects'!$L$5:$L$64,MATCH($A57,'Fragrance Projects'!$A$5:$A$64,0)),""))</f>
        <v/>
      </c>
      <c r="I57" s="20" t="str">
        <f aca="false">IF($A57="","",IF(AND(IFERROR(INDEX(Clients!$T$5:$T$44,MATCH($W57,Clients!$A$5:$A$44,0)),"")&lt;&gt;"",IFERROR(INDEX(Clients!$T$5:$T$44,MATCH($W57,Clients!$A$5:$A$44,0)),"")&lt;&gt;"Not Yet Agreed"),"Yes","No"))</f>
        <v/>
      </c>
      <c r="J57" s="30"/>
      <c r="K57" s="30"/>
      <c r="L57" s="30"/>
      <c r="M57" s="30"/>
      <c r="N57" s="30"/>
      <c r="O57" s="20" t="str">
        <f aca="false">IF($A57="","",IF(AND($Y57&lt;&gt;"",$Y57&gt;0,$X57&gt;0.4*$Y57),"Yes","No"))</f>
        <v/>
      </c>
      <c r="P57" s="20" t="str">
        <f aca="false">IF($A57="","",IF(AND($Z57&lt;&gt;"",$Z57&lt;0.15),"Yes","No"))</f>
        <v/>
      </c>
      <c r="Q57" s="20" t="str">
        <f aca="false">IF($A57="","",IF($AA57="Overdue","Yes","No"))</f>
        <v/>
      </c>
      <c r="R57" s="30"/>
      <c r="S57" s="30"/>
      <c r="T57" s="30"/>
      <c r="U57" s="20" t="str">
        <f aca="false">IF($A57="","",_xlfn.IFS((IF($D57="No",1,0)+IF($E57="No",1,0)+IF($F57="No",1,0)+IF($G57="No",1,0)+IF($I57="No",1,0)+IF($J57="No",1,0)+IF($K57="No",1,0)+IF($L57="Yes",1,0)+IF($M57="Yes",1,0)+IF($N57="Yes",1,0)+IF($O57="Yes",1,0)+IF($P57="Yes",1,0)+IF($Q57="Yes",1,0)+IF($R57="Yes",1,0)+IF($S57="No",1,0)+IF($T57="No",1,0))&lt;=2,"LOW",(IF($D57="No",1,0)+IF($E57="No",1,0)+IF($F57="No",1,0)+IF($G57="No",1,0)+IF($I57="No",1,0)+IF($J57="No",1,0)+IF($K57="No",1,0)+IF($L57="Yes",1,0)+IF($M57="Yes",1,0)+IF($N57="Yes",1,0)+IF($O57="Yes",1,0)+IF($P57="Yes",1,0)+IF($Q57="Yes",1,0)+IF($R57="Yes",1,0)+IF($S57="No",1,0)+IF($T57="No",1,0))&lt;=5,"MEDIUM",TRUE(),"HIGH"))</f>
        <v/>
      </c>
      <c r="V57" s="19" t="str">
        <f aca="false">IF($A57="","",IF(LEN(IF($D57="No","Scope undefined; ","")&amp;IF($E57="No","Brief unclear; ","")&amp;IF($F57="No","Contract not signed; ","")&amp;IF($G57="No","Deposit unpaid; ","")&amp;IF($I57="No","Ownership not agreed; ","")&amp;IF($J57="No","Deadline unrealistic; ","")&amp;IF($K57="No","Slow client response; ","")&amp;IF($L57="Yes","Brief keeps changing; ","")&amp;IF($M57="Yes","Extra work requested; ","")&amp;IF($N57="Yes","Exceeding expected hours; ","")&amp;IF($O57="Yes","Expenses over budget; ","")&amp;IF($P57="Yes","Margin too low; ","")&amp;IF($Q57="Yes","Payment overdue; ","")&amp;IF($R57="Yes","Scope creep; ","")&amp;IF($S57="No","Compliance unclear; ","")&amp;IF($T57="No","Manufacturing handover unclear; ",""))=0,"None — healthy",LEFT(IF($D57="No","Scope undefined; ","")&amp;IF($E57="No","Brief unclear; ","")&amp;IF($F57="No","Contract not signed; ","")&amp;IF($G57="No","Deposit unpaid; ","")&amp;IF($I57="No","Ownership not agreed; ","")&amp;IF($J57="No","Deadline unrealistic; ","")&amp;IF($K57="No","Slow client response; ","")&amp;IF($L57="Yes","Brief keeps changing; ","")&amp;IF($M57="Yes","Extra work requested; ","")&amp;IF($N57="Yes","Exceeding expected hours; ","")&amp;IF($O57="Yes","Expenses over budget; ","")&amp;IF($P57="Yes","Margin too low; ","")&amp;IF($Q57="Yes","Payment overdue; ","")&amp;IF($R57="Yes","Scope creep; ","")&amp;IF($S57="No","Compliance unclear; ","")&amp;IF($T57="No","Manufacturing handover unclear; ",""),LEN(IF($D57="No","Scope undefined; ","")&amp;IF($E57="No","Brief unclear; ","")&amp;IF($F57="No","Contract not signed; ","")&amp;IF($G57="No","Deposit unpaid; ","")&amp;IF($I57="No","Ownership not agreed; ","")&amp;IF($J57="No","Deadline unrealistic; ","")&amp;IF($K57="No","Slow client response; ","")&amp;IF($L57="Yes","Brief keeps changing; ","")&amp;IF($M57="Yes","Extra work requested; ","")&amp;IF($N57="Yes","Exceeding expected hours; ","")&amp;IF($O57="Yes","Expenses over budget; ","")&amp;IF($P57="Yes","Margin too low; ","")&amp;IF($Q57="Yes","Payment overdue; ","")&amp;IF($R57="Yes","Scope creep; ","")&amp;IF($S57="No","Compliance unclear; ","")&amp;IF($T57="No","Manufacturing handover unclear; ",""))-2)))</f>
        <v/>
      </c>
      <c r="W57" s="39" t="str">
        <f aca="false">IF($A57="","",IFERROR(INDEX('Fragrance Projects'!$B$5:$B$64,MATCH($A57,'Fragrance Projects'!$A$5:$A$64,0)),""))</f>
        <v/>
      </c>
      <c r="X57" s="39" t="str">
        <f aca="false">IF($A57="","",IFERROR(INDEX('Project Financials'!$U$5:$U$64,MATCH($A57,'Project Financials'!$A$5:$A$64,0)),""))</f>
        <v/>
      </c>
      <c r="Y57" s="39" t="str">
        <f aca="false">IF($A57="","",IFERROR(INDEX('Project Financials'!$D$5:$D$64,MATCH($A57,'Project Financials'!$A$5:$A$64,0)),""))</f>
        <v/>
      </c>
      <c r="Z57" s="39" t="str">
        <f aca="false">IF($A57="","",IFERROR(INDEX('Project Financials'!$AC$5:$AC$64,MATCH($A57,'Project Financials'!$A$5:$A$64,0)),""))</f>
        <v/>
      </c>
      <c r="AA57" s="39" t="str">
        <f aca="false">IF($A57="","",IFERROR(INDEX(Payments!$N$5:$N$64,MATCH($A57,Payments!$B$5:$B$64,0)),""))</f>
        <v/>
      </c>
    </row>
    <row r="58" customFormat="false" ht="21.75" hidden="false" customHeight="true" outlineLevel="0" collapsed="false">
      <c r="A58" s="30"/>
      <c r="B58" s="20" t="str">
        <f aca="false">IF($A58="","",IFERROR(INDEX('Fragrance Projects'!$C$5:$C$64,MATCH($A58,'Fragrance Projects'!$A$5:$A$64,0)),""))</f>
        <v/>
      </c>
      <c r="C58" s="20" t="str">
        <f aca="false">IF($A58="","",IFERROR(INDEX('Fragrance Projects'!$D$5:$D$64,MATCH($A58,'Fragrance Projects'!$A$5:$A$64,0)),""))</f>
        <v/>
      </c>
      <c r="D58" s="30"/>
      <c r="E58" s="30"/>
      <c r="F58" s="20" t="str">
        <f aca="false">IF($A58="","",IFERROR(INDEX(Clients!$R$5:$R$44,MATCH($W58,Clients!$A$5:$A$44,0)),""))</f>
        <v/>
      </c>
      <c r="G58" s="20" t="str">
        <f aca="false">IF($A58="","",IF(IFERROR(INDEX(Payments!$G$5:$G$64,MATCH($A58,Payments!$B$5:$B$64,0)),0)&gt;0,"Yes","No"))</f>
        <v/>
      </c>
      <c r="H58" s="20" t="str">
        <f aca="false">IF($A58="","",IFERROR(INDEX('Fragrance Projects'!$L$5:$L$64,MATCH($A58,'Fragrance Projects'!$A$5:$A$64,0)),""))</f>
        <v/>
      </c>
      <c r="I58" s="20" t="str">
        <f aca="false">IF($A58="","",IF(AND(IFERROR(INDEX(Clients!$T$5:$T$44,MATCH($W58,Clients!$A$5:$A$44,0)),"")&lt;&gt;"",IFERROR(INDEX(Clients!$T$5:$T$44,MATCH($W58,Clients!$A$5:$A$44,0)),"")&lt;&gt;"Not Yet Agreed"),"Yes","No"))</f>
        <v/>
      </c>
      <c r="J58" s="30"/>
      <c r="K58" s="30"/>
      <c r="L58" s="30"/>
      <c r="M58" s="30"/>
      <c r="N58" s="30"/>
      <c r="O58" s="20" t="str">
        <f aca="false">IF($A58="","",IF(AND($Y58&lt;&gt;"",$Y58&gt;0,$X58&gt;0.4*$Y58),"Yes","No"))</f>
        <v/>
      </c>
      <c r="P58" s="20" t="str">
        <f aca="false">IF($A58="","",IF(AND($Z58&lt;&gt;"",$Z58&lt;0.15),"Yes","No"))</f>
        <v/>
      </c>
      <c r="Q58" s="20" t="str">
        <f aca="false">IF($A58="","",IF($AA58="Overdue","Yes","No"))</f>
        <v/>
      </c>
      <c r="R58" s="30"/>
      <c r="S58" s="30"/>
      <c r="T58" s="30"/>
      <c r="U58" s="20" t="str">
        <f aca="false">IF($A58="","",_xlfn.IFS((IF($D58="No",1,0)+IF($E58="No",1,0)+IF($F58="No",1,0)+IF($G58="No",1,0)+IF($I58="No",1,0)+IF($J58="No",1,0)+IF($K58="No",1,0)+IF($L58="Yes",1,0)+IF($M58="Yes",1,0)+IF($N58="Yes",1,0)+IF($O58="Yes",1,0)+IF($P58="Yes",1,0)+IF($Q58="Yes",1,0)+IF($R58="Yes",1,0)+IF($S58="No",1,0)+IF($T58="No",1,0))&lt;=2,"LOW",(IF($D58="No",1,0)+IF($E58="No",1,0)+IF($F58="No",1,0)+IF($G58="No",1,0)+IF($I58="No",1,0)+IF($J58="No",1,0)+IF($K58="No",1,0)+IF($L58="Yes",1,0)+IF($M58="Yes",1,0)+IF($N58="Yes",1,0)+IF($O58="Yes",1,0)+IF($P58="Yes",1,0)+IF($Q58="Yes",1,0)+IF($R58="Yes",1,0)+IF($S58="No",1,0)+IF($T58="No",1,0))&lt;=5,"MEDIUM",TRUE(),"HIGH"))</f>
        <v/>
      </c>
      <c r="V58" s="19" t="str">
        <f aca="false">IF($A58="","",IF(LEN(IF($D58="No","Scope undefined; ","")&amp;IF($E58="No","Brief unclear; ","")&amp;IF($F58="No","Contract not signed; ","")&amp;IF($G58="No","Deposit unpaid; ","")&amp;IF($I58="No","Ownership not agreed; ","")&amp;IF($J58="No","Deadline unrealistic; ","")&amp;IF($K58="No","Slow client response; ","")&amp;IF($L58="Yes","Brief keeps changing; ","")&amp;IF($M58="Yes","Extra work requested; ","")&amp;IF($N58="Yes","Exceeding expected hours; ","")&amp;IF($O58="Yes","Expenses over budget; ","")&amp;IF($P58="Yes","Margin too low; ","")&amp;IF($Q58="Yes","Payment overdue; ","")&amp;IF($R58="Yes","Scope creep; ","")&amp;IF($S58="No","Compliance unclear; ","")&amp;IF($T58="No","Manufacturing handover unclear; ",""))=0,"None — healthy",LEFT(IF($D58="No","Scope undefined; ","")&amp;IF($E58="No","Brief unclear; ","")&amp;IF($F58="No","Contract not signed; ","")&amp;IF($G58="No","Deposit unpaid; ","")&amp;IF($I58="No","Ownership not agreed; ","")&amp;IF($J58="No","Deadline unrealistic; ","")&amp;IF($K58="No","Slow client response; ","")&amp;IF($L58="Yes","Brief keeps changing; ","")&amp;IF($M58="Yes","Extra work requested; ","")&amp;IF($N58="Yes","Exceeding expected hours; ","")&amp;IF($O58="Yes","Expenses over budget; ","")&amp;IF($P58="Yes","Margin too low; ","")&amp;IF($Q58="Yes","Payment overdue; ","")&amp;IF($R58="Yes","Scope creep; ","")&amp;IF($S58="No","Compliance unclear; ","")&amp;IF($T58="No","Manufacturing handover unclear; ",""),LEN(IF($D58="No","Scope undefined; ","")&amp;IF($E58="No","Brief unclear; ","")&amp;IF($F58="No","Contract not signed; ","")&amp;IF($G58="No","Deposit unpaid; ","")&amp;IF($I58="No","Ownership not agreed; ","")&amp;IF($J58="No","Deadline unrealistic; ","")&amp;IF($K58="No","Slow client response; ","")&amp;IF($L58="Yes","Brief keeps changing; ","")&amp;IF($M58="Yes","Extra work requested; ","")&amp;IF($N58="Yes","Exceeding expected hours; ","")&amp;IF($O58="Yes","Expenses over budget; ","")&amp;IF($P58="Yes","Margin too low; ","")&amp;IF($Q58="Yes","Payment overdue; ","")&amp;IF($R58="Yes","Scope creep; ","")&amp;IF($S58="No","Compliance unclear; ","")&amp;IF($T58="No","Manufacturing handover unclear; ",""))-2)))</f>
        <v/>
      </c>
      <c r="W58" s="39" t="str">
        <f aca="false">IF($A58="","",IFERROR(INDEX('Fragrance Projects'!$B$5:$B$64,MATCH($A58,'Fragrance Projects'!$A$5:$A$64,0)),""))</f>
        <v/>
      </c>
      <c r="X58" s="39" t="str">
        <f aca="false">IF($A58="","",IFERROR(INDEX('Project Financials'!$U$5:$U$64,MATCH($A58,'Project Financials'!$A$5:$A$64,0)),""))</f>
        <v/>
      </c>
      <c r="Y58" s="39" t="str">
        <f aca="false">IF($A58="","",IFERROR(INDEX('Project Financials'!$D$5:$D$64,MATCH($A58,'Project Financials'!$A$5:$A$64,0)),""))</f>
        <v/>
      </c>
      <c r="Z58" s="39" t="str">
        <f aca="false">IF($A58="","",IFERROR(INDEX('Project Financials'!$AC$5:$AC$64,MATCH($A58,'Project Financials'!$A$5:$A$64,0)),""))</f>
        <v/>
      </c>
      <c r="AA58" s="39" t="str">
        <f aca="false">IF($A58="","",IFERROR(INDEX(Payments!$N$5:$N$64,MATCH($A58,Payments!$B$5:$B$64,0)),""))</f>
        <v/>
      </c>
    </row>
    <row r="59" customFormat="false" ht="21.75" hidden="false" customHeight="true" outlineLevel="0" collapsed="false">
      <c r="A59" s="30"/>
      <c r="B59" s="20" t="str">
        <f aca="false">IF($A59="","",IFERROR(INDEX('Fragrance Projects'!$C$5:$C$64,MATCH($A59,'Fragrance Projects'!$A$5:$A$64,0)),""))</f>
        <v/>
      </c>
      <c r="C59" s="20" t="str">
        <f aca="false">IF($A59="","",IFERROR(INDEX('Fragrance Projects'!$D$5:$D$64,MATCH($A59,'Fragrance Projects'!$A$5:$A$64,0)),""))</f>
        <v/>
      </c>
      <c r="D59" s="30"/>
      <c r="E59" s="30"/>
      <c r="F59" s="20" t="str">
        <f aca="false">IF($A59="","",IFERROR(INDEX(Clients!$R$5:$R$44,MATCH($W59,Clients!$A$5:$A$44,0)),""))</f>
        <v/>
      </c>
      <c r="G59" s="20" t="str">
        <f aca="false">IF($A59="","",IF(IFERROR(INDEX(Payments!$G$5:$G$64,MATCH($A59,Payments!$B$5:$B$64,0)),0)&gt;0,"Yes","No"))</f>
        <v/>
      </c>
      <c r="H59" s="20" t="str">
        <f aca="false">IF($A59="","",IFERROR(INDEX('Fragrance Projects'!$L$5:$L$64,MATCH($A59,'Fragrance Projects'!$A$5:$A$64,0)),""))</f>
        <v/>
      </c>
      <c r="I59" s="20" t="str">
        <f aca="false">IF($A59="","",IF(AND(IFERROR(INDEX(Clients!$T$5:$T$44,MATCH($W59,Clients!$A$5:$A$44,0)),"")&lt;&gt;"",IFERROR(INDEX(Clients!$T$5:$T$44,MATCH($W59,Clients!$A$5:$A$44,0)),"")&lt;&gt;"Not Yet Agreed"),"Yes","No"))</f>
        <v/>
      </c>
      <c r="J59" s="30"/>
      <c r="K59" s="30"/>
      <c r="L59" s="30"/>
      <c r="M59" s="30"/>
      <c r="N59" s="30"/>
      <c r="O59" s="20" t="str">
        <f aca="false">IF($A59="","",IF(AND($Y59&lt;&gt;"",$Y59&gt;0,$X59&gt;0.4*$Y59),"Yes","No"))</f>
        <v/>
      </c>
      <c r="P59" s="20" t="str">
        <f aca="false">IF($A59="","",IF(AND($Z59&lt;&gt;"",$Z59&lt;0.15),"Yes","No"))</f>
        <v/>
      </c>
      <c r="Q59" s="20" t="str">
        <f aca="false">IF($A59="","",IF($AA59="Overdue","Yes","No"))</f>
        <v/>
      </c>
      <c r="R59" s="30"/>
      <c r="S59" s="30"/>
      <c r="T59" s="30"/>
      <c r="U59" s="20" t="str">
        <f aca="false">IF($A59="","",_xlfn.IFS((IF($D59="No",1,0)+IF($E59="No",1,0)+IF($F59="No",1,0)+IF($G59="No",1,0)+IF($I59="No",1,0)+IF($J59="No",1,0)+IF($K59="No",1,0)+IF($L59="Yes",1,0)+IF($M59="Yes",1,0)+IF($N59="Yes",1,0)+IF($O59="Yes",1,0)+IF($P59="Yes",1,0)+IF($Q59="Yes",1,0)+IF($R59="Yes",1,0)+IF($S59="No",1,0)+IF($T59="No",1,0))&lt;=2,"LOW",(IF($D59="No",1,0)+IF($E59="No",1,0)+IF($F59="No",1,0)+IF($G59="No",1,0)+IF($I59="No",1,0)+IF($J59="No",1,0)+IF($K59="No",1,0)+IF($L59="Yes",1,0)+IF($M59="Yes",1,0)+IF($N59="Yes",1,0)+IF($O59="Yes",1,0)+IF($P59="Yes",1,0)+IF($Q59="Yes",1,0)+IF($R59="Yes",1,0)+IF($S59="No",1,0)+IF($T59="No",1,0))&lt;=5,"MEDIUM",TRUE(),"HIGH"))</f>
        <v/>
      </c>
      <c r="V59" s="19" t="str">
        <f aca="false">IF($A59="","",IF(LEN(IF($D59="No","Scope undefined; ","")&amp;IF($E59="No","Brief unclear; ","")&amp;IF($F59="No","Contract not signed; ","")&amp;IF($G59="No","Deposit unpaid; ","")&amp;IF($I59="No","Ownership not agreed; ","")&amp;IF($J59="No","Deadline unrealistic; ","")&amp;IF($K59="No","Slow client response; ","")&amp;IF($L59="Yes","Brief keeps changing; ","")&amp;IF($M59="Yes","Extra work requested; ","")&amp;IF($N59="Yes","Exceeding expected hours; ","")&amp;IF($O59="Yes","Expenses over budget; ","")&amp;IF($P59="Yes","Margin too low; ","")&amp;IF($Q59="Yes","Payment overdue; ","")&amp;IF($R59="Yes","Scope creep; ","")&amp;IF($S59="No","Compliance unclear; ","")&amp;IF($T59="No","Manufacturing handover unclear; ",""))=0,"None — healthy",LEFT(IF($D59="No","Scope undefined; ","")&amp;IF($E59="No","Brief unclear; ","")&amp;IF($F59="No","Contract not signed; ","")&amp;IF($G59="No","Deposit unpaid; ","")&amp;IF($I59="No","Ownership not agreed; ","")&amp;IF($J59="No","Deadline unrealistic; ","")&amp;IF($K59="No","Slow client response; ","")&amp;IF($L59="Yes","Brief keeps changing; ","")&amp;IF($M59="Yes","Extra work requested; ","")&amp;IF($N59="Yes","Exceeding expected hours; ","")&amp;IF($O59="Yes","Expenses over budget; ","")&amp;IF($P59="Yes","Margin too low; ","")&amp;IF($Q59="Yes","Payment overdue; ","")&amp;IF($R59="Yes","Scope creep; ","")&amp;IF($S59="No","Compliance unclear; ","")&amp;IF($T59="No","Manufacturing handover unclear; ",""),LEN(IF($D59="No","Scope undefined; ","")&amp;IF($E59="No","Brief unclear; ","")&amp;IF($F59="No","Contract not signed; ","")&amp;IF($G59="No","Deposit unpaid; ","")&amp;IF($I59="No","Ownership not agreed; ","")&amp;IF($J59="No","Deadline unrealistic; ","")&amp;IF($K59="No","Slow client response; ","")&amp;IF($L59="Yes","Brief keeps changing; ","")&amp;IF($M59="Yes","Extra work requested; ","")&amp;IF($N59="Yes","Exceeding expected hours; ","")&amp;IF($O59="Yes","Expenses over budget; ","")&amp;IF($P59="Yes","Margin too low; ","")&amp;IF($Q59="Yes","Payment overdue; ","")&amp;IF($R59="Yes","Scope creep; ","")&amp;IF($S59="No","Compliance unclear; ","")&amp;IF($T59="No","Manufacturing handover unclear; ",""))-2)))</f>
        <v/>
      </c>
      <c r="W59" s="39" t="str">
        <f aca="false">IF($A59="","",IFERROR(INDEX('Fragrance Projects'!$B$5:$B$64,MATCH($A59,'Fragrance Projects'!$A$5:$A$64,0)),""))</f>
        <v/>
      </c>
      <c r="X59" s="39" t="str">
        <f aca="false">IF($A59="","",IFERROR(INDEX('Project Financials'!$U$5:$U$64,MATCH($A59,'Project Financials'!$A$5:$A$64,0)),""))</f>
        <v/>
      </c>
      <c r="Y59" s="39" t="str">
        <f aca="false">IF($A59="","",IFERROR(INDEX('Project Financials'!$D$5:$D$64,MATCH($A59,'Project Financials'!$A$5:$A$64,0)),""))</f>
        <v/>
      </c>
      <c r="Z59" s="39" t="str">
        <f aca="false">IF($A59="","",IFERROR(INDEX('Project Financials'!$AC$5:$AC$64,MATCH($A59,'Project Financials'!$A$5:$A$64,0)),""))</f>
        <v/>
      </c>
      <c r="AA59" s="39" t="str">
        <f aca="false">IF($A59="","",IFERROR(INDEX(Payments!$N$5:$N$64,MATCH($A59,Payments!$B$5:$B$64,0)),""))</f>
        <v/>
      </c>
    </row>
    <row r="60" customFormat="false" ht="21.75" hidden="false" customHeight="true" outlineLevel="0" collapsed="false">
      <c r="A60" s="30"/>
      <c r="B60" s="20" t="str">
        <f aca="false">IF($A60="","",IFERROR(INDEX('Fragrance Projects'!$C$5:$C$64,MATCH($A60,'Fragrance Projects'!$A$5:$A$64,0)),""))</f>
        <v/>
      </c>
      <c r="C60" s="20" t="str">
        <f aca="false">IF($A60="","",IFERROR(INDEX('Fragrance Projects'!$D$5:$D$64,MATCH($A60,'Fragrance Projects'!$A$5:$A$64,0)),""))</f>
        <v/>
      </c>
      <c r="D60" s="30"/>
      <c r="E60" s="30"/>
      <c r="F60" s="20" t="str">
        <f aca="false">IF($A60="","",IFERROR(INDEX(Clients!$R$5:$R$44,MATCH($W60,Clients!$A$5:$A$44,0)),""))</f>
        <v/>
      </c>
      <c r="G60" s="20" t="str">
        <f aca="false">IF($A60="","",IF(IFERROR(INDEX(Payments!$G$5:$G$64,MATCH($A60,Payments!$B$5:$B$64,0)),0)&gt;0,"Yes","No"))</f>
        <v/>
      </c>
      <c r="H60" s="20" t="str">
        <f aca="false">IF($A60="","",IFERROR(INDEX('Fragrance Projects'!$L$5:$L$64,MATCH($A60,'Fragrance Projects'!$A$5:$A$64,0)),""))</f>
        <v/>
      </c>
      <c r="I60" s="20" t="str">
        <f aca="false">IF($A60="","",IF(AND(IFERROR(INDEX(Clients!$T$5:$T$44,MATCH($W60,Clients!$A$5:$A$44,0)),"")&lt;&gt;"",IFERROR(INDEX(Clients!$T$5:$T$44,MATCH($W60,Clients!$A$5:$A$44,0)),"")&lt;&gt;"Not Yet Agreed"),"Yes","No"))</f>
        <v/>
      </c>
      <c r="J60" s="30"/>
      <c r="K60" s="30"/>
      <c r="L60" s="30"/>
      <c r="M60" s="30"/>
      <c r="N60" s="30"/>
      <c r="O60" s="20" t="str">
        <f aca="false">IF($A60="","",IF(AND($Y60&lt;&gt;"",$Y60&gt;0,$X60&gt;0.4*$Y60),"Yes","No"))</f>
        <v/>
      </c>
      <c r="P60" s="20" t="str">
        <f aca="false">IF($A60="","",IF(AND($Z60&lt;&gt;"",$Z60&lt;0.15),"Yes","No"))</f>
        <v/>
      </c>
      <c r="Q60" s="20" t="str">
        <f aca="false">IF($A60="","",IF($AA60="Overdue","Yes","No"))</f>
        <v/>
      </c>
      <c r="R60" s="30"/>
      <c r="S60" s="30"/>
      <c r="T60" s="30"/>
      <c r="U60" s="20" t="str">
        <f aca="false">IF($A60="","",_xlfn.IFS((IF($D60="No",1,0)+IF($E60="No",1,0)+IF($F60="No",1,0)+IF($G60="No",1,0)+IF($I60="No",1,0)+IF($J60="No",1,0)+IF($K60="No",1,0)+IF($L60="Yes",1,0)+IF($M60="Yes",1,0)+IF($N60="Yes",1,0)+IF($O60="Yes",1,0)+IF($P60="Yes",1,0)+IF($Q60="Yes",1,0)+IF($R60="Yes",1,0)+IF($S60="No",1,0)+IF($T60="No",1,0))&lt;=2,"LOW",(IF($D60="No",1,0)+IF($E60="No",1,0)+IF($F60="No",1,0)+IF($G60="No",1,0)+IF($I60="No",1,0)+IF($J60="No",1,0)+IF($K60="No",1,0)+IF($L60="Yes",1,0)+IF($M60="Yes",1,0)+IF($N60="Yes",1,0)+IF($O60="Yes",1,0)+IF($P60="Yes",1,0)+IF($Q60="Yes",1,0)+IF($R60="Yes",1,0)+IF($S60="No",1,0)+IF($T60="No",1,0))&lt;=5,"MEDIUM",TRUE(),"HIGH"))</f>
        <v/>
      </c>
      <c r="V60" s="19" t="str">
        <f aca="false">IF($A60="","",IF(LEN(IF($D60="No","Scope undefined; ","")&amp;IF($E60="No","Brief unclear; ","")&amp;IF($F60="No","Contract not signed; ","")&amp;IF($G60="No","Deposit unpaid; ","")&amp;IF($I60="No","Ownership not agreed; ","")&amp;IF($J60="No","Deadline unrealistic; ","")&amp;IF($K60="No","Slow client response; ","")&amp;IF($L60="Yes","Brief keeps changing; ","")&amp;IF($M60="Yes","Extra work requested; ","")&amp;IF($N60="Yes","Exceeding expected hours; ","")&amp;IF($O60="Yes","Expenses over budget; ","")&amp;IF($P60="Yes","Margin too low; ","")&amp;IF($Q60="Yes","Payment overdue; ","")&amp;IF($R60="Yes","Scope creep; ","")&amp;IF($S60="No","Compliance unclear; ","")&amp;IF($T60="No","Manufacturing handover unclear; ",""))=0,"None — healthy",LEFT(IF($D60="No","Scope undefined; ","")&amp;IF($E60="No","Brief unclear; ","")&amp;IF($F60="No","Contract not signed; ","")&amp;IF($G60="No","Deposit unpaid; ","")&amp;IF($I60="No","Ownership not agreed; ","")&amp;IF($J60="No","Deadline unrealistic; ","")&amp;IF($K60="No","Slow client response; ","")&amp;IF($L60="Yes","Brief keeps changing; ","")&amp;IF($M60="Yes","Extra work requested; ","")&amp;IF($N60="Yes","Exceeding expected hours; ","")&amp;IF($O60="Yes","Expenses over budget; ","")&amp;IF($P60="Yes","Margin too low; ","")&amp;IF($Q60="Yes","Payment overdue; ","")&amp;IF($R60="Yes","Scope creep; ","")&amp;IF($S60="No","Compliance unclear; ","")&amp;IF($T60="No","Manufacturing handover unclear; ",""),LEN(IF($D60="No","Scope undefined; ","")&amp;IF($E60="No","Brief unclear; ","")&amp;IF($F60="No","Contract not signed; ","")&amp;IF($G60="No","Deposit unpaid; ","")&amp;IF($I60="No","Ownership not agreed; ","")&amp;IF($J60="No","Deadline unrealistic; ","")&amp;IF($K60="No","Slow client response; ","")&amp;IF($L60="Yes","Brief keeps changing; ","")&amp;IF($M60="Yes","Extra work requested; ","")&amp;IF($N60="Yes","Exceeding expected hours; ","")&amp;IF($O60="Yes","Expenses over budget; ","")&amp;IF($P60="Yes","Margin too low; ","")&amp;IF($Q60="Yes","Payment overdue; ","")&amp;IF($R60="Yes","Scope creep; ","")&amp;IF($S60="No","Compliance unclear; ","")&amp;IF($T60="No","Manufacturing handover unclear; ",""))-2)))</f>
        <v/>
      </c>
      <c r="W60" s="39" t="str">
        <f aca="false">IF($A60="","",IFERROR(INDEX('Fragrance Projects'!$B$5:$B$64,MATCH($A60,'Fragrance Projects'!$A$5:$A$64,0)),""))</f>
        <v/>
      </c>
      <c r="X60" s="39" t="str">
        <f aca="false">IF($A60="","",IFERROR(INDEX('Project Financials'!$U$5:$U$64,MATCH($A60,'Project Financials'!$A$5:$A$64,0)),""))</f>
        <v/>
      </c>
      <c r="Y60" s="39" t="str">
        <f aca="false">IF($A60="","",IFERROR(INDEX('Project Financials'!$D$5:$D$64,MATCH($A60,'Project Financials'!$A$5:$A$64,0)),""))</f>
        <v/>
      </c>
      <c r="Z60" s="39" t="str">
        <f aca="false">IF($A60="","",IFERROR(INDEX('Project Financials'!$AC$5:$AC$64,MATCH($A60,'Project Financials'!$A$5:$A$64,0)),""))</f>
        <v/>
      </c>
      <c r="AA60" s="39" t="str">
        <f aca="false">IF($A60="","",IFERROR(INDEX(Payments!$N$5:$N$64,MATCH($A60,Payments!$B$5:$B$64,0)),""))</f>
        <v/>
      </c>
    </row>
    <row r="61" customFormat="false" ht="21.75" hidden="false" customHeight="true" outlineLevel="0" collapsed="false">
      <c r="A61" s="30"/>
      <c r="B61" s="20" t="str">
        <f aca="false">IF($A61="","",IFERROR(INDEX('Fragrance Projects'!$C$5:$C$64,MATCH($A61,'Fragrance Projects'!$A$5:$A$64,0)),""))</f>
        <v/>
      </c>
      <c r="C61" s="20" t="str">
        <f aca="false">IF($A61="","",IFERROR(INDEX('Fragrance Projects'!$D$5:$D$64,MATCH($A61,'Fragrance Projects'!$A$5:$A$64,0)),""))</f>
        <v/>
      </c>
      <c r="D61" s="30"/>
      <c r="E61" s="30"/>
      <c r="F61" s="20" t="str">
        <f aca="false">IF($A61="","",IFERROR(INDEX(Clients!$R$5:$R$44,MATCH($W61,Clients!$A$5:$A$44,0)),""))</f>
        <v/>
      </c>
      <c r="G61" s="20" t="str">
        <f aca="false">IF($A61="","",IF(IFERROR(INDEX(Payments!$G$5:$G$64,MATCH($A61,Payments!$B$5:$B$64,0)),0)&gt;0,"Yes","No"))</f>
        <v/>
      </c>
      <c r="H61" s="20" t="str">
        <f aca="false">IF($A61="","",IFERROR(INDEX('Fragrance Projects'!$L$5:$L$64,MATCH($A61,'Fragrance Projects'!$A$5:$A$64,0)),""))</f>
        <v/>
      </c>
      <c r="I61" s="20" t="str">
        <f aca="false">IF($A61="","",IF(AND(IFERROR(INDEX(Clients!$T$5:$T$44,MATCH($W61,Clients!$A$5:$A$44,0)),"")&lt;&gt;"",IFERROR(INDEX(Clients!$T$5:$T$44,MATCH($W61,Clients!$A$5:$A$44,0)),"")&lt;&gt;"Not Yet Agreed"),"Yes","No"))</f>
        <v/>
      </c>
      <c r="J61" s="30"/>
      <c r="K61" s="30"/>
      <c r="L61" s="30"/>
      <c r="M61" s="30"/>
      <c r="N61" s="30"/>
      <c r="O61" s="20" t="str">
        <f aca="false">IF($A61="","",IF(AND($Y61&lt;&gt;"",$Y61&gt;0,$X61&gt;0.4*$Y61),"Yes","No"))</f>
        <v/>
      </c>
      <c r="P61" s="20" t="str">
        <f aca="false">IF($A61="","",IF(AND($Z61&lt;&gt;"",$Z61&lt;0.15),"Yes","No"))</f>
        <v/>
      </c>
      <c r="Q61" s="20" t="str">
        <f aca="false">IF($A61="","",IF($AA61="Overdue","Yes","No"))</f>
        <v/>
      </c>
      <c r="R61" s="30"/>
      <c r="S61" s="30"/>
      <c r="T61" s="30"/>
      <c r="U61" s="20" t="str">
        <f aca="false">IF($A61="","",_xlfn.IFS((IF($D61="No",1,0)+IF($E61="No",1,0)+IF($F61="No",1,0)+IF($G61="No",1,0)+IF($I61="No",1,0)+IF($J61="No",1,0)+IF($K61="No",1,0)+IF($L61="Yes",1,0)+IF($M61="Yes",1,0)+IF($N61="Yes",1,0)+IF($O61="Yes",1,0)+IF($P61="Yes",1,0)+IF($Q61="Yes",1,0)+IF($R61="Yes",1,0)+IF($S61="No",1,0)+IF($T61="No",1,0))&lt;=2,"LOW",(IF($D61="No",1,0)+IF($E61="No",1,0)+IF($F61="No",1,0)+IF($G61="No",1,0)+IF($I61="No",1,0)+IF($J61="No",1,0)+IF($K61="No",1,0)+IF($L61="Yes",1,0)+IF($M61="Yes",1,0)+IF($N61="Yes",1,0)+IF($O61="Yes",1,0)+IF($P61="Yes",1,0)+IF($Q61="Yes",1,0)+IF($R61="Yes",1,0)+IF($S61="No",1,0)+IF($T61="No",1,0))&lt;=5,"MEDIUM",TRUE(),"HIGH"))</f>
        <v/>
      </c>
      <c r="V61" s="19" t="str">
        <f aca="false">IF($A61="","",IF(LEN(IF($D61="No","Scope undefined; ","")&amp;IF($E61="No","Brief unclear; ","")&amp;IF($F61="No","Contract not signed; ","")&amp;IF($G61="No","Deposit unpaid; ","")&amp;IF($I61="No","Ownership not agreed; ","")&amp;IF($J61="No","Deadline unrealistic; ","")&amp;IF($K61="No","Slow client response; ","")&amp;IF($L61="Yes","Brief keeps changing; ","")&amp;IF($M61="Yes","Extra work requested; ","")&amp;IF($N61="Yes","Exceeding expected hours; ","")&amp;IF($O61="Yes","Expenses over budget; ","")&amp;IF($P61="Yes","Margin too low; ","")&amp;IF($Q61="Yes","Payment overdue; ","")&amp;IF($R61="Yes","Scope creep; ","")&amp;IF($S61="No","Compliance unclear; ","")&amp;IF($T61="No","Manufacturing handover unclear; ",""))=0,"None — healthy",LEFT(IF($D61="No","Scope undefined; ","")&amp;IF($E61="No","Brief unclear; ","")&amp;IF($F61="No","Contract not signed; ","")&amp;IF($G61="No","Deposit unpaid; ","")&amp;IF($I61="No","Ownership not agreed; ","")&amp;IF($J61="No","Deadline unrealistic; ","")&amp;IF($K61="No","Slow client response; ","")&amp;IF($L61="Yes","Brief keeps changing; ","")&amp;IF($M61="Yes","Extra work requested; ","")&amp;IF($N61="Yes","Exceeding expected hours; ","")&amp;IF($O61="Yes","Expenses over budget; ","")&amp;IF($P61="Yes","Margin too low; ","")&amp;IF($Q61="Yes","Payment overdue; ","")&amp;IF($R61="Yes","Scope creep; ","")&amp;IF($S61="No","Compliance unclear; ","")&amp;IF($T61="No","Manufacturing handover unclear; ",""),LEN(IF($D61="No","Scope undefined; ","")&amp;IF($E61="No","Brief unclear; ","")&amp;IF($F61="No","Contract not signed; ","")&amp;IF($G61="No","Deposit unpaid; ","")&amp;IF($I61="No","Ownership not agreed; ","")&amp;IF($J61="No","Deadline unrealistic; ","")&amp;IF($K61="No","Slow client response; ","")&amp;IF($L61="Yes","Brief keeps changing; ","")&amp;IF($M61="Yes","Extra work requested; ","")&amp;IF($N61="Yes","Exceeding expected hours; ","")&amp;IF($O61="Yes","Expenses over budget; ","")&amp;IF($P61="Yes","Margin too low; ","")&amp;IF($Q61="Yes","Payment overdue; ","")&amp;IF($R61="Yes","Scope creep; ","")&amp;IF($S61="No","Compliance unclear; ","")&amp;IF($T61="No","Manufacturing handover unclear; ",""))-2)))</f>
        <v/>
      </c>
      <c r="W61" s="39" t="str">
        <f aca="false">IF($A61="","",IFERROR(INDEX('Fragrance Projects'!$B$5:$B$64,MATCH($A61,'Fragrance Projects'!$A$5:$A$64,0)),""))</f>
        <v/>
      </c>
      <c r="X61" s="39" t="str">
        <f aca="false">IF($A61="","",IFERROR(INDEX('Project Financials'!$U$5:$U$64,MATCH($A61,'Project Financials'!$A$5:$A$64,0)),""))</f>
        <v/>
      </c>
      <c r="Y61" s="39" t="str">
        <f aca="false">IF($A61="","",IFERROR(INDEX('Project Financials'!$D$5:$D$64,MATCH($A61,'Project Financials'!$A$5:$A$64,0)),""))</f>
        <v/>
      </c>
      <c r="Z61" s="39" t="str">
        <f aca="false">IF($A61="","",IFERROR(INDEX('Project Financials'!$AC$5:$AC$64,MATCH($A61,'Project Financials'!$A$5:$A$64,0)),""))</f>
        <v/>
      </c>
      <c r="AA61" s="39" t="str">
        <f aca="false">IF($A61="","",IFERROR(INDEX(Payments!$N$5:$N$64,MATCH($A61,Payments!$B$5:$B$64,0)),""))</f>
        <v/>
      </c>
    </row>
    <row r="62" customFormat="false" ht="21.75" hidden="false" customHeight="true" outlineLevel="0" collapsed="false">
      <c r="A62" s="30"/>
      <c r="B62" s="20" t="str">
        <f aca="false">IF($A62="","",IFERROR(INDEX('Fragrance Projects'!$C$5:$C$64,MATCH($A62,'Fragrance Projects'!$A$5:$A$64,0)),""))</f>
        <v/>
      </c>
      <c r="C62" s="20" t="str">
        <f aca="false">IF($A62="","",IFERROR(INDEX('Fragrance Projects'!$D$5:$D$64,MATCH($A62,'Fragrance Projects'!$A$5:$A$64,0)),""))</f>
        <v/>
      </c>
      <c r="D62" s="30"/>
      <c r="E62" s="30"/>
      <c r="F62" s="20" t="str">
        <f aca="false">IF($A62="","",IFERROR(INDEX(Clients!$R$5:$R$44,MATCH($W62,Clients!$A$5:$A$44,0)),""))</f>
        <v/>
      </c>
      <c r="G62" s="20" t="str">
        <f aca="false">IF($A62="","",IF(IFERROR(INDEX(Payments!$G$5:$G$64,MATCH($A62,Payments!$B$5:$B$64,0)),0)&gt;0,"Yes","No"))</f>
        <v/>
      </c>
      <c r="H62" s="20" t="str">
        <f aca="false">IF($A62="","",IFERROR(INDEX('Fragrance Projects'!$L$5:$L$64,MATCH($A62,'Fragrance Projects'!$A$5:$A$64,0)),""))</f>
        <v/>
      </c>
      <c r="I62" s="20" t="str">
        <f aca="false">IF($A62="","",IF(AND(IFERROR(INDEX(Clients!$T$5:$T$44,MATCH($W62,Clients!$A$5:$A$44,0)),"")&lt;&gt;"",IFERROR(INDEX(Clients!$T$5:$T$44,MATCH($W62,Clients!$A$5:$A$44,0)),"")&lt;&gt;"Not Yet Agreed"),"Yes","No"))</f>
        <v/>
      </c>
      <c r="J62" s="30"/>
      <c r="K62" s="30"/>
      <c r="L62" s="30"/>
      <c r="M62" s="30"/>
      <c r="N62" s="30"/>
      <c r="O62" s="20" t="str">
        <f aca="false">IF($A62="","",IF(AND($Y62&lt;&gt;"",$Y62&gt;0,$X62&gt;0.4*$Y62),"Yes","No"))</f>
        <v/>
      </c>
      <c r="P62" s="20" t="str">
        <f aca="false">IF($A62="","",IF(AND($Z62&lt;&gt;"",$Z62&lt;0.15),"Yes","No"))</f>
        <v/>
      </c>
      <c r="Q62" s="20" t="str">
        <f aca="false">IF($A62="","",IF($AA62="Overdue","Yes","No"))</f>
        <v/>
      </c>
      <c r="R62" s="30"/>
      <c r="S62" s="30"/>
      <c r="T62" s="30"/>
      <c r="U62" s="20" t="str">
        <f aca="false">IF($A62="","",_xlfn.IFS((IF($D62="No",1,0)+IF($E62="No",1,0)+IF($F62="No",1,0)+IF($G62="No",1,0)+IF($I62="No",1,0)+IF($J62="No",1,0)+IF($K62="No",1,0)+IF($L62="Yes",1,0)+IF($M62="Yes",1,0)+IF($N62="Yes",1,0)+IF($O62="Yes",1,0)+IF($P62="Yes",1,0)+IF($Q62="Yes",1,0)+IF($R62="Yes",1,0)+IF($S62="No",1,0)+IF($T62="No",1,0))&lt;=2,"LOW",(IF($D62="No",1,0)+IF($E62="No",1,0)+IF($F62="No",1,0)+IF($G62="No",1,0)+IF($I62="No",1,0)+IF($J62="No",1,0)+IF($K62="No",1,0)+IF($L62="Yes",1,0)+IF($M62="Yes",1,0)+IF($N62="Yes",1,0)+IF($O62="Yes",1,0)+IF($P62="Yes",1,0)+IF($Q62="Yes",1,0)+IF($R62="Yes",1,0)+IF($S62="No",1,0)+IF($T62="No",1,0))&lt;=5,"MEDIUM",TRUE(),"HIGH"))</f>
        <v/>
      </c>
      <c r="V62" s="19" t="str">
        <f aca="false">IF($A62="","",IF(LEN(IF($D62="No","Scope undefined; ","")&amp;IF($E62="No","Brief unclear; ","")&amp;IF($F62="No","Contract not signed; ","")&amp;IF($G62="No","Deposit unpaid; ","")&amp;IF($I62="No","Ownership not agreed; ","")&amp;IF($J62="No","Deadline unrealistic; ","")&amp;IF($K62="No","Slow client response; ","")&amp;IF($L62="Yes","Brief keeps changing; ","")&amp;IF($M62="Yes","Extra work requested; ","")&amp;IF($N62="Yes","Exceeding expected hours; ","")&amp;IF($O62="Yes","Expenses over budget; ","")&amp;IF($P62="Yes","Margin too low; ","")&amp;IF($Q62="Yes","Payment overdue; ","")&amp;IF($R62="Yes","Scope creep; ","")&amp;IF($S62="No","Compliance unclear; ","")&amp;IF($T62="No","Manufacturing handover unclear; ",""))=0,"None — healthy",LEFT(IF($D62="No","Scope undefined; ","")&amp;IF($E62="No","Brief unclear; ","")&amp;IF($F62="No","Contract not signed; ","")&amp;IF($G62="No","Deposit unpaid; ","")&amp;IF($I62="No","Ownership not agreed; ","")&amp;IF($J62="No","Deadline unrealistic; ","")&amp;IF($K62="No","Slow client response; ","")&amp;IF($L62="Yes","Brief keeps changing; ","")&amp;IF($M62="Yes","Extra work requested; ","")&amp;IF($N62="Yes","Exceeding expected hours; ","")&amp;IF($O62="Yes","Expenses over budget; ","")&amp;IF($P62="Yes","Margin too low; ","")&amp;IF($Q62="Yes","Payment overdue; ","")&amp;IF($R62="Yes","Scope creep; ","")&amp;IF($S62="No","Compliance unclear; ","")&amp;IF($T62="No","Manufacturing handover unclear; ",""),LEN(IF($D62="No","Scope undefined; ","")&amp;IF($E62="No","Brief unclear; ","")&amp;IF($F62="No","Contract not signed; ","")&amp;IF($G62="No","Deposit unpaid; ","")&amp;IF($I62="No","Ownership not agreed; ","")&amp;IF($J62="No","Deadline unrealistic; ","")&amp;IF($K62="No","Slow client response; ","")&amp;IF($L62="Yes","Brief keeps changing; ","")&amp;IF($M62="Yes","Extra work requested; ","")&amp;IF($N62="Yes","Exceeding expected hours; ","")&amp;IF($O62="Yes","Expenses over budget; ","")&amp;IF($P62="Yes","Margin too low; ","")&amp;IF($Q62="Yes","Payment overdue; ","")&amp;IF($R62="Yes","Scope creep; ","")&amp;IF($S62="No","Compliance unclear; ","")&amp;IF($T62="No","Manufacturing handover unclear; ",""))-2)))</f>
        <v/>
      </c>
      <c r="W62" s="39" t="str">
        <f aca="false">IF($A62="","",IFERROR(INDEX('Fragrance Projects'!$B$5:$B$64,MATCH($A62,'Fragrance Projects'!$A$5:$A$64,0)),""))</f>
        <v/>
      </c>
      <c r="X62" s="39" t="str">
        <f aca="false">IF($A62="","",IFERROR(INDEX('Project Financials'!$U$5:$U$64,MATCH($A62,'Project Financials'!$A$5:$A$64,0)),""))</f>
        <v/>
      </c>
      <c r="Y62" s="39" t="str">
        <f aca="false">IF($A62="","",IFERROR(INDEX('Project Financials'!$D$5:$D$64,MATCH($A62,'Project Financials'!$A$5:$A$64,0)),""))</f>
        <v/>
      </c>
      <c r="Z62" s="39" t="str">
        <f aca="false">IF($A62="","",IFERROR(INDEX('Project Financials'!$AC$5:$AC$64,MATCH($A62,'Project Financials'!$A$5:$A$64,0)),""))</f>
        <v/>
      </c>
      <c r="AA62" s="39" t="str">
        <f aca="false">IF($A62="","",IFERROR(INDEX(Payments!$N$5:$N$64,MATCH($A62,Payments!$B$5:$B$64,0)),""))</f>
        <v/>
      </c>
    </row>
    <row r="63" customFormat="false" ht="21.75" hidden="false" customHeight="true" outlineLevel="0" collapsed="false">
      <c r="A63" s="30"/>
      <c r="B63" s="20" t="str">
        <f aca="false">IF($A63="","",IFERROR(INDEX('Fragrance Projects'!$C$5:$C$64,MATCH($A63,'Fragrance Projects'!$A$5:$A$64,0)),""))</f>
        <v/>
      </c>
      <c r="C63" s="20" t="str">
        <f aca="false">IF($A63="","",IFERROR(INDEX('Fragrance Projects'!$D$5:$D$64,MATCH($A63,'Fragrance Projects'!$A$5:$A$64,0)),""))</f>
        <v/>
      </c>
      <c r="D63" s="30"/>
      <c r="E63" s="30"/>
      <c r="F63" s="20" t="str">
        <f aca="false">IF($A63="","",IFERROR(INDEX(Clients!$R$5:$R$44,MATCH($W63,Clients!$A$5:$A$44,0)),""))</f>
        <v/>
      </c>
      <c r="G63" s="20" t="str">
        <f aca="false">IF($A63="","",IF(IFERROR(INDEX(Payments!$G$5:$G$64,MATCH($A63,Payments!$B$5:$B$64,0)),0)&gt;0,"Yes","No"))</f>
        <v/>
      </c>
      <c r="H63" s="20" t="str">
        <f aca="false">IF($A63="","",IFERROR(INDEX('Fragrance Projects'!$L$5:$L$64,MATCH($A63,'Fragrance Projects'!$A$5:$A$64,0)),""))</f>
        <v/>
      </c>
      <c r="I63" s="20" t="str">
        <f aca="false">IF($A63="","",IF(AND(IFERROR(INDEX(Clients!$T$5:$T$44,MATCH($W63,Clients!$A$5:$A$44,0)),"")&lt;&gt;"",IFERROR(INDEX(Clients!$T$5:$T$44,MATCH($W63,Clients!$A$5:$A$44,0)),"")&lt;&gt;"Not Yet Agreed"),"Yes","No"))</f>
        <v/>
      </c>
      <c r="J63" s="30"/>
      <c r="K63" s="30"/>
      <c r="L63" s="30"/>
      <c r="M63" s="30"/>
      <c r="N63" s="30"/>
      <c r="O63" s="20" t="str">
        <f aca="false">IF($A63="","",IF(AND($Y63&lt;&gt;"",$Y63&gt;0,$X63&gt;0.4*$Y63),"Yes","No"))</f>
        <v/>
      </c>
      <c r="P63" s="20" t="str">
        <f aca="false">IF($A63="","",IF(AND($Z63&lt;&gt;"",$Z63&lt;0.15),"Yes","No"))</f>
        <v/>
      </c>
      <c r="Q63" s="20" t="str">
        <f aca="false">IF($A63="","",IF($AA63="Overdue","Yes","No"))</f>
        <v/>
      </c>
      <c r="R63" s="30"/>
      <c r="S63" s="30"/>
      <c r="T63" s="30"/>
      <c r="U63" s="20" t="str">
        <f aca="false">IF($A63="","",_xlfn.IFS((IF($D63="No",1,0)+IF($E63="No",1,0)+IF($F63="No",1,0)+IF($G63="No",1,0)+IF($I63="No",1,0)+IF($J63="No",1,0)+IF($K63="No",1,0)+IF($L63="Yes",1,0)+IF($M63="Yes",1,0)+IF($N63="Yes",1,0)+IF($O63="Yes",1,0)+IF($P63="Yes",1,0)+IF($Q63="Yes",1,0)+IF($R63="Yes",1,0)+IF($S63="No",1,0)+IF($T63="No",1,0))&lt;=2,"LOW",(IF($D63="No",1,0)+IF($E63="No",1,0)+IF($F63="No",1,0)+IF($G63="No",1,0)+IF($I63="No",1,0)+IF($J63="No",1,0)+IF($K63="No",1,0)+IF($L63="Yes",1,0)+IF($M63="Yes",1,0)+IF($N63="Yes",1,0)+IF($O63="Yes",1,0)+IF($P63="Yes",1,0)+IF($Q63="Yes",1,0)+IF($R63="Yes",1,0)+IF($S63="No",1,0)+IF($T63="No",1,0))&lt;=5,"MEDIUM",TRUE(),"HIGH"))</f>
        <v/>
      </c>
      <c r="V63" s="19" t="str">
        <f aca="false">IF($A63="","",IF(LEN(IF($D63="No","Scope undefined; ","")&amp;IF($E63="No","Brief unclear; ","")&amp;IF($F63="No","Contract not signed; ","")&amp;IF($G63="No","Deposit unpaid; ","")&amp;IF($I63="No","Ownership not agreed; ","")&amp;IF($J63="No","Deadline unrealistic; ","")&amp;IF($K63="No","Slow client response; ","")&amp;IF($L63="Yes","Brief keeps changing; ","")&amp;IF($M63="Yes","Extra work requested; ","")&amp;IF($N63="Yes","Exceeding expected hours; ","")&amp;IF($O63="Yes","Expenses over budget; ","")&amp;IF($P63="Yes","Margin too low; ","")&amp;IF($Q63="Yes","Payment overdue; ","")&amp;IF($R63="Yes","Scope creep; ","")&amp;IF($S63="No","Compliance unclear; ","")&amp;IF($T63="No","Manufacturing handover unclear; ",""))=0,"None — healthy",LEFT(IF($D63="No","Scope undefined; ","")&amp;IF($E63="No","Brief unclear; ","")&amp;IF($F63="No","Contract not signed; ","")&amp;IF($G63="No","Deposit unpaid; ","")&amp;IF($I63="No","Ownership not agreed; ","")&amp;IF($J63="No","Deadline unrealistic; ","")&amp;IF($K63="No","Slow client response; ","")&amp;IF($L63="Yes","Brief keeps changing; ","")&amp;IF($M63="Yes","Extra work requested; ","")&amp;IF($N63="Yes","Exceeding expected hours; ","")&amp;IF($O63="Yes","Expenses over budget; ","")&amp;IF($P63="Yes","Margin too low; ","")&amp;IF($Q63="Yes","Payment overdue; ","")&amp;IF($R63="Yes","Scope creep; ","")&amp;IF($S63="No","Compliance unclear; ","")&amp;IF($T63="No","Manufacturing handover unclear; ",""),LEN(IF($D63="No","Scope undefined; ","")&amp;IF($E63="No","Brief unclear; ","")&amp;IF($F63="No","Contract not signed; ","")&amp;IF($G63="No","Deposit unpaid; ","")&amp;IF($I63="No","Ownership not agreed; ","")&amp;IF($J63="No","Deadline unrealistic; ","")&amp;IF($K63="No","Slow client response; ","")&amp;IF($L63="Yes","Brief keeps changing; ","")&amp;IF($M63="Yes","Extra work requested; ","")&amp;IF($N63="Yes","Exceeding expected hours; ","")&amp;IF($O63="Yes","Expenses over budget; ","")&amp;IF($P63="Yes","Margin too low; ","")&amp;IF($Q63="Yes","Payment overdue; ","")&amp;IF($R63="Yes","Scope creep; ","")&amp;IF($S63="No","Compliance unclear; ","")&amp;IF($T63="No","Manufacturing handover unclear; ",""))-2)))</f>
        <v/>
      </c>
      <c r="W63" s="39" t="str">
        <f aca="false">IF($A63="","",IFERROR(INDEX('Fragrance Projects'!$B$5:$B$64,MATCH($A63,'Fragrance Projects'!$A$5:$A$64,0)),""))</f>
        <v/>
      </c>
      <c r="X63" s="39" t="str">
        <f aca="false">IF($A63="","",IFERROR(INDEX('Project Financials'!$U$5:$U$64,MATCH($A63,'Project Financials'!$A$5:$A$64,0)),""))</f>
        <v/>
      </c>
      <c r="Y63" s="39" t="str">
        <f aca="false">IF($A63="","",IFERROR(INDEX('Project Financials'!$D$5:$D$64,MATCH($A63,'Project Financials'!$A$5:$A$64,0)),""))</f>
        <v/>
      </c>
      <c r="Z63" s="39" t="str">
        <f aca="false">IF($A63="","",IFERROR(INDEX('Project Financials'!$AC$5:$AC$64,MATCH($A63,'Project Financials'!$A$5:$A$64,0)),""))</f>
        <v/>
      </c>
      <c r="AA63" s="39" t="str">
        <f aca="false">IF($A63="","",IFERROR(INDEX(Payments!$N$5:$N$64,MATCH($A63,Payments!$B$5:$B$64,0)),""))</f>
        <v/>
      </c>
    </row>
    <row r="64" customFormat="false" ht="21.75" hidden="false" customHeight="true" outlineLevel="0" collapsed="false">
      <c r="A64" s="30"/>
      <c r="B64" s="20" t="str">
        <f aca="false">IF($A64="","",IFERROR(INDEX('Fragrance Projects'!$C$5:$C$64,MATCH($A64,'Fragrance Projects'!$A$5:$A$64,0)),""))</f>
        <v/>
      </c>
      <c r="C64" s="20" t="str">
        <f aca="false">IF($A64="","",IFERROR(INDEX('Fragrance Projects'!$D$5:$D$64,MATCH($A64,'Fragrance Projects'!$A$5:$A$64,0)),""))</f>
        <v/>
      </c>
      <c r="D64" s="30"/>
      <c r="E64" s="30"/>
      <c r="F64" s="20" t="str">
        <f aca="false">IF($A64="","",IFERROR(INDEX(Clients!$R$5:$R$44,MATCH($W64,Clients!$A$5:$A$44,0)),""))</f>
        <v/>
      </c>
      <c r="G64" s="20" t="str">
        <f aca="false">IF($A64="","",IF(IFERROR(INDEX(Payments!$G$5:$G$64,MATCH($A64,Payments!$B$5:$B$64,0)),0)&gt;0,"Yes","No"))</f>
        <v/>
      </c>
      <c r="H64" s="20" t="str">
        <f aca="false">IF($A64="","",IFERROR(INDEX('Fragrance Projects'!$L$5:$L$64,MATCH($A64,'Fragrance Projects'!$A$5:$A$64,0)),""))</f>
        <v/>
      </c>
      <c r="I64" s="20" t="str">
        <f aca="false">IF($A64="","",IF(AND(IFERROR(INDEX(Clients!$T$5:$T$44,MATCH($W64,Clients!$A$5:$A$44,0)),"")&lt;&gt;"",IFERROR(INDEX(Clients!$T$5:$T$44,MATCH($W64,Clients!$A$5:$A$44,0)),"")&lt;&gt;"Not Yet Agreed"),"Yes","No"))</f>
        <v/>
      </c>
      <c r="J64" s="30"/>
      <c r="K64" s="30"/>
      <c r="L64" s="30"/>
      <c r="M64" s="30"/>
      <c r="N64" s="30"/>
      <c r="O64" s="20" t="str">
        <f aca="false">IF($A64="","",IF(AND($Y64&lt;&gt;"",$Y64&gt;0,$X64&gt;0.4*$Y64),"Yes","No"))</f>
        <v/>
      </c>
      <c r="P64" s="20" t="str">
        <f aca="false">IF($A64="","",IF(AND($Z64&lt;&gt;"",$Z64&lt;0.15),"Yes","No"))</f>
        <v/>
      </c>
      <c r="Q64" s="20" t="str">
        <f aca="false">IF($A64="","",IF($AA64="Overdue","Yes","No"))</f>
        <v/>
      </c>
      <c r="R64" s="30"/>
      <c r="S64" s="30"/>
      <c r="T64" s="30"/>
      <c r="U64" s="20" t="str">
        <f aca="false">IF($A64="","",_xlfn.IFS((IF($D64="No",1,0)+IF($E64="No",1,0)+IF($F64="No",1,0)+IF($G64="No",1,0)+IF($I64="No",1,0)+IF($J64="No",1,0)+IF($K64="No",1,0)+IF($L64="Yes",1,0)+IF($M64="Yes",1,0)+IF($N64="Yes",1,0)+IF($O64="Yes",1,0)+IF($P64="Yes",1,0)+IF($Q64="Yes",1,0)+IF($R64="Yes",1,0)+IF($S64="No",1,0)+IF($T64="No",1,0))&lt;=2,"LOW",(IF($D64="No",1,0)+IF($E64="No",1,0)+IF($F64="No",1,0)+IF($G64="No",1,0)+IF($I64="No",1,0)+IF($J64="No",1,0)+IF($K64="No",1,0)+IF($L64="Yes",1,0)+IF($M64="Yes",1,0)+IF($N64="Yes",1,0)+IF($O64="Yes",1,0)+IF($P64="Yes",1,0)+IF($Q64="Yes",1,0)+IF($R64="Yes",1,0)+IF($S64="No",1,0)+IF($T64="No",1,0))&lt;=5,"MEDIUM",TRUE(),"HIGH"))</f>
        <v/>
      </c>
      <c r="V64" s="19" t="str">
        <f aca="false">IF($A64="","",IF(LEN(IF($D64="No","Scope undefined; ","")&amp;IF($E64="No","Brief unclear; ","")&amp;IF($F64="No","Contract not signed; ","")&amp;IF($G64="No","Deposit unpaid; ","")&amp;IF($I64="No","Ownership not agreed; ","")&amp;IF($J64="No","Deadline unrealistic; ","")&amp;IF($K64="No","Slow client response; ","")&amp;IF($L64="Yes","Brief keeps changing; ","")&amp;IF($M64="Yes","Extra work requested; ","")&amp;IF($N64="Yes","Exceeding expected hours; ","")&amp;IF($O64="Yes","Expenses over budget; ","")&amp;IF($P64="Yes","Margin too low; ","")&amp;IF($Q64="Yes","Payment overdue; ","")&amp;IF($R64="Yes","Scope creep; ","")&amp;IF($S64="No","Compliance unclear; ","")&amp;IF($T64="No","Manufacturing handover unclear; ",""))=0,"None — healthy",LEFT(IF($D64="No","Scope undefined; ","")&amp;IF($E64="No","Brief unclear; ","")&amp;IF($F64="No","Contract not signed; ","")&amp;IF($G64="No","Deposit unpaid; ","")&amp;IF($I64="No","Ownership not agreed; ","")&amp;IF($J64="No","Deadline unrealistic; ","")&amp;IF($K64="No","Slow client response; ","")&amp;IF($L64="Yes","Brief keeps changing; ","")&amp;IF($M64="Yes","Extra work requested; ","")&amp;IF($N64="Yes","Exceeding expected hours; ","")&amp;IF($O64="Yes","Expenses over budget; ","")&amp;IF($P64="Yes","Margin too low; ","")&amp;IF($Q64="Yes","Payment overdue; ","")&amp;IF($R64="Yes","Scope creep; ","")&amp;IF($S64="No","Compliance unclear; ","")&amp;IF($T64="No","Manufacturing handover unclear; ",""),LEN(IF($D64="No","Scope undefined; ","")&amp;IF($E64="No","Brief unclear; ","")&amp;IF($F64="No","Contract not signed; ","")&amp;IF($G64="No","Deposit unpaid; ","")&amp;IF($I64="No","Ownership not agreed; ","")&amp;IF($J64="No","Deadline unrealistic; ","")&amp;IF($K64="No","Slow client response; ","")&amp;IF($L64="Yes","Brief keeps changing; ","")&amp;IF($M64="Yes","Extra work requested; ","")&amp;IF($N64="Yes","Exceeding expected hours; ","")&amp;IF($O64="Yes","Expenses over budget; ","")&amp;IF($P64="Yes","Margin too low; ","")&amp;IF($Q64="Yes","Payment overdue; ","")&amp;IF($R64="Yes","Scope creep; ","")&amp;IF($S64="No","Compliance unclear; ","")&amp;IF($T64="No","Manufacturing handover unclear; ",""))-2)))</f>
        <v/>
      </c>
      <c r="W64" s="39" t="str">
        <f aca="false">IF($A64="","",IFERROR(INDEX('Fragrance Projects'!$B$5:$B$64,MATCH($A64,'Fragrance Projects'!$A$5:$A$64,0)),""))</f>
        <v/>
      </c>
      <c r="X64" s="39" t="str">
        <f aca="false">IF($A64="","",IFERROR(INDEX('Project Financials'!$U$5:$U$64,MATCH($A64,'Project Financials'!$A$5:$A$64,0)),""))</f>
        <v/>
      </c>
      <c r="Y64" s="39" t="str">
        <f aca="false">IF($A64="","",IFERROR(INDEX('Project Financials'!$D$5:$D$64,MATCH($A64,'Project Financials'!$A$5:$A$64,0)),""))</f>
        <v/>
      </c>
      <c r="Z64" s="39" t="str">
        <f aca="false">IF($A64="","",IFERROR(INDEX('Project Financials'!$AC$5:$AC$64,MATCH($A64,'Project Financials'!$A$5:$A$64,0)),""))</f>
        <v/>
      </c>
      <c r="AA64" s="39" t="str">
        <f aca="false">IF($A64="","",IFERROR(INDEX(Payments!$N$5:$N$64,MATCH($A64,Payments!$B$5:$B$64,0)),""))</f>
        <v/>
      </c>
    </row>
  </sheetData>
  <sheetProtection sheet="true" formatCells="false" formatColumns="false" formatRows="false" insertRows="false" sort="false" autoFilter="false"/>
  <mergeCells count="5">
    <mergeCell ref="A1:V1"/>
    <mergeCell ref="A2:V2"/>
    <mergeCell ref="B3:C3"/>
    <mergeCell ref="F3:G3"/>
    <mergeCell ref="J3:K3"/>
  </mergeCells>
  <conditionalFormatting sqref="U5:U64">
    <cfRule type="expression" priority="2" aboveAverage="0" equalAverage="0" bottom="0" percent="0" rank="0" text="" dxfId="2">
      <formula>U5="HIGH"</formula>
    </cfRule>
    <cfRule type="expression" priority="3" aboveAverage="0" equalAverage="0" bottom="0" percent="0" rank="0" text="" dxfId="16">
      <formula>U5="MEDIUM"</formula>
    </cfRule>
    <cfRule type="expression" priority="4" aboveAverage="0" equalAverage="0" bottom="0" percent="0" rank="0" text="" dxfId="5">
      <formula>U5="LOW"</formula>
    </cfRule>
  </conditionalFormatting>
  <dataValidations count="11">
    <dataValidation allowBlank="true" error="Please choose a value from the dropdown list." errorStyle="stop" errorTitle="Invalid entry" operator="between" showDropDown="false" showErrorMessage="true" showInputMessage="false" sqref="A5:A64" type="list">
      <formula1>'Fragrance Projects'!$A$5:$A$64</formula1>
      <formula2>0</formula2>
    </dataValidation>
    <dataValidation allowBlank="true" error="Please choose a value from the dropdown list." errorStyle="stop" errorTitle="Invalid entry" operator="between" showDropDown="false" showErrorMessage="true" showInputMessage="false" sqref="J5:J64" type="list">
      <formula1>Lists!$F$2:$F$3</formula1>
      <formula2>0</formula2>
    </dataValidation>
    <dataValidation allowBlank="true" error="Please choose a value from the dropdown list." errorStyle="stop" errorTitle="Invalid entry" operator="between" showDropDown="false" showErrorMessage="true" showInputMessage="false" sqref="L5:L64" type="list">
      <formula1>Lists!$F$2:$F$3</formula1>
      <formula2>0</formula2>
    </dataValidation>
    <dataValidation allowBlank="true" error="Please choose a value from the dropdown list." errorStyle="stop" errorTitle="Invalid entry" operator="between" showDropDown="false" showErrorMessage="true" showInputMessage="false" sqref="M5:M64" type="list">
      <formula1>Lists!$F$2:$F$3</formula1>
      <formula2>0</formula2>
    </dataValidation>
    <dataValidation allowBlank="true" error="Please choose a value from the dropdown list." errorStyle="stop" errorTitle="Invalid entry" operator="between" showDropDown="false" showErrorMessage="true" showInputMessage="false" sqref="D5:D64" type="list">
      <formula1>Lists!$F$2:$F$3</formula1>
      <formula2>0</formula2>
    </dataValidation>
    <dataValidation allowBlank="true" error="Please choose a value from the dropdown list." errorStyle="stop" errorTitle="Invalid entry" operator="between" showDropDown="false" showErrorMessage="true" showInputMessage="false" sqref="E5:E64" type="list">
      <formula1>Lists!$F$2:$F$3</formula1>
      <formula2>0</formula2>
    </dataValidation>
    <dataValidation allowBlank="true" error="Please choose a value from the dropdown list." errorStyle="stop" errorTitle="Invalid entry" operator="between" showDropDown="false" showErrorMessage="true" showInputMessage="false" sqref="K5:K64" type="list">
      <formula1>Lists!$F$2:$F$3</formula1>
      <formula2>0</formula2>
    </dataValidation>
    <dataValidation allowBlank="true" error="Please choose a value from the dropdown list." errorStyle="stop" errorTitle="Invalid entry" operator="between" showDropDown="false" showErrorMessage="true" showInputMessage="false" sqref="S5:S64" type="list">
      <formula1>Lists!$F$2:$F$3</formula1>
      <formula2>0</formula2>
    </dataValidation>
    <dataValidation allowBlank="true" error="Please choose a value from the dropdown list." errorStyle="stop" errorTitle="Invalid entry" operator="between" showDropDown="false" showErrorMessage="true" showInputMessage="false" sqref="T5:T64" type="list">
      <formula1>Lists!$F$2:$F$3</formula1>
      <formula2>0</formula2>
    </dataValidation>
    <dataValidation allowBlank="true" error="Please choose a value from the dropdown list." errorStyle="stop" errorTitle="Invalid entry" operator="between" showDropDown="false" showErrorMessage="true" showInputMessage="false" sqref="N5:N64" type="list">
      <formula1>Lists!$F$2:$F$3</formula1>
      <formula2>0</formula2>
    </dataValidation>
    <dataValidation allowBlank="true" error="Please choose a value from the dropdown list." errorStyle="stop" errorTitle="Invalid entry" operator="between" showDropDown="false" showErrorMessage="true" showInputMessage="false" sqref="R5:R64"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3" width="9"/>
    <col collapsed="false" customWidth="true" hidden="false" outlineLevel="0" max="2" min="2" style="3" width="15"/>
    <col collapsed="false" customWidth="true" hidden="false" outlineLevel="0" max="3" min="3" style="3" width="22"/>
    <col collapsed="false" customWidth="true" hidden="false" outlineLevel="0" max="4" min="4" style="3" width="13"/>
    <col collapsed="false" customWidth="true" hidden="false" outlineLevel="0" max="13" min="5" style="3" width="12"/>
    <col collapsed="false" customWidth="true" hidden="false" outlineLevel="0" max="16" min="14" style="3" width="11"/>
    <col collapsed="false" customWidth="true" hidden="false" outlineLevel="0" max="17" min="17" style="3" width="10"/>
    <col collapsed="false" customWidth="true" hidden="false" outlineLevel="0" max="19" min="18" style="3" width="9"/>
    <col collapsed="false" customWidth="true" hidden="false" outlineLevel="0" max="20" min="20" style="3" width="11"/>
    <col collapsed="false" customWidth="true" hidden="false" outlineLevel="0" max="21" min="21" style="3" width="13"/>
    <col collapsed="false" customWidth="true" hidden="false" outlineLevel="0" max="24" min="22" style="3" width="30"/>
  </cols>
  <sheetData>
    <row r="1" customFormat="false" ht="33.75" hidden="false" customHeight="true" outlineLevel="0" collapsed="false">
      <c r="A1" s="4" t="s">
        <v>382</v>
      </c>
      <c r="B1" s="4"/>
      <c r="C1" s="4"/>
      <c r="D1" s="4"/>
      <c r="E1" s="4"/>
      <c r="F1" s="4"/>
      <c r="G1" s="4"/>
      <c r="H1" s="4"/>
      <c r="I1" s="4"/>
      <c r="J1" s="4"/>
      <c r="K1" s="4"/>
      <c r="L1" s="4"/>
      <c r="M1" s="4"/>
      <c r="N1" s="4"/>
      <c r="O1" s="4"/>
      <c r="P1" s="4"/>
      <c r="Q1" s="4"/>
      <c r="R1" s="4"/>
      <c r="S1" s="4"/>
      <c r="T1" s="4"/>
      <c r="U1" s="4"/>
      <c r="V1" s="4"/>
      <c r="W1" s="4"/>
      <c r="X1" s="4"/>
    </row>
    <row r="2" customFormat="false" ht="19.5" hidden="false" customHeight="true" outlineLevel="0" collapsed="false">
      <c r="A2" s="25" t="s">
        <v>383</v>
      </c>
      <c r="B2" s="25"/>
      <c r="C2" s="25"/>
      <c r="D2" s="25"/>
      <c r="E2" s="25"/>
      <c r="F2" s="25"/>
      <c r="G2" s="25"/>
      <c r="H2" s="25"/>
      <c r="I2" s="25"/>
      <c r="J2" s="25"/>
      <c r="K2" s="25"/>
      <c r="L2" s="25"/>
      <c r="M2" s="25"/>
      <c r="N2" s="25"/>
      <c r="O2" s="25"/>
      <c r="P2" s="25"/>
      <c r="Q2" s="25"/>
      <c r="R2" s="25"/>
      <c r="S2" s="25"/>
      <c r="T2" s="25"/>
      <c r="U2" s="25"/>
      <c r="V2" s="25"/>
      <c r="W2" s="25"/>
      <c r="X2" s="25"/>
    </row>
    <row r="3" customFormat="false" ht="15" hidden="false" customHeight="false" outlineLevel="0" collapsed="false">
      <c r="A3" s="26"/>
      <c r="B3" s="27" t="s">
        <v>176</v>
      </c>
      <c r="C3" s="27"/>
      <c r="E3" s="28"/>
      <c r="F3" s="27" t="s">
        <v>177</v>
      </c>
      <c r="G3" s="27"/>
      <c r="I3" s="29"/>
      <c r="J3" s="27" t="s">
        <v>178</v>
      </c>
      <c r="K3" s="27"/>
    </row>
    <row r="4" customFormat="false" ht="30" hidden="false" customHeight="true" outlineLevel="0" collapsed="false">
      <c r="A4" s="17" t="s">
        <v>204</v>
      </c>
      <c r="B4" s="17" t="s">
        <v>50</v>
      </c>
      <c r="C4" s="17" t="s">
        <v>346</v>
      </c>
      <c r="D4" s="17" t="s">
        <v>384</v>
      </c>
      <c r="E4" s="17" t="s">
        <v>385</v>
      </c>
      <c r="F4" s="17" t="s">
        <v>386</v>
      </c>
      <c r="G4" s="17" t="s">
        <v>387</v>
      </c>
      <c r="H4" s="17" t="s">
        <v>388</v>
      </c>
      <c r="I4" s="17" t="s">
        <v>389</v>
      </c>
      <c r="J4" s="17" t="s">
        <v>390</v>
      </c>
      <c r="K4" s="17" t="s">
        <v>391</v>
      </c>
      <c r="L4" s="17" t="s">
        <v>392</v>
      </c>
      <c r="M4" s="17" t="s">
        <v>393</v>
      </c>
      <c r="N4" s="17" t="s">
        <v>394</v>
      </c>
      <c r="O4" s="17" t="s">
        <v>395</v>
      </c>
      <c r="P4" s="17" t="s">
        <v>396</v>
      </c>
      <c r="Q4" s="17" t="s">
        <v>397</v>
      </c>
      <c r="R4" s="17" t="s">
        <v>398</v>
      </c>
      <c r="S4" s="17" t="s">
        <v>399</v>
      </c>
      <c r="T4" s="17" t="s">
        <v>400</v>
      </c>
      <c r="U4" s="17" t="s">
        <v>401</v>
      </c>
      <c r="V4" s="17" t="s">
        <v>402</v>
      </c>
      <c r="W4" s="17" t="s">
        <v>403</v>
      </c>
      <c r="X4" s="17" t="s">
        <v>404</v>
      </c>
    </row>
    <row r="5" customFormat="false" ht="39.75" hidden="false" customHeight="true" outlineLevel="0" collapsed="false">
      <c r="A5" s="30"/>
      <c r="B5" s="37" t="str">
        <f aca="false">IF($A5="","",IFERROR(INDEX('Fragrance Projects'!$C$5:$C$64,MATCH($A5,'Fragrance Projects'!$A$5:$A$64,0)),""))</f>
        <v/>
      </c>
      <c r="C5" s="37" t="str">
        <f aca="false">IF($A5="","",IFERROR(INDEX('Fragrance Projects'!$D$5:$D$64,MATCH($A5,'Fragrance Projects'!$A$5:$A$64,0)),""))</f>
        <v/>
      </c>
      <c r="D5" s="20" t="str">
        <f aca="false">IF($A5="","",IFERROR(INDEX('Iteration Tracker'!$E$5:$E$124,SUMPRODUCT(SMALL(IF((('Iteration Tracker'!$A$5:$A$124=$A5)*('Iteration Tracker'!$D$5:$D$124=_xlfn.MAXIFS('Iteration Tracker'!$D$5:$D$124,'Iteration Tracker'!$A$5:$A$124,$A5))),ROW('Iteration Tracker'!$D$5:$D$124)-ROW(INDEX('Iteration Tracker'!$D$5:$D$124,1))+1),1))),""))</f>
        <v/>
      </c>
      <c r="E5" s="31"/>
      <c r="F5" s="30"/>
      <c r="G5" s="30"/>
      <c r="H5" s="30"/>
      <c r="I5" s="30"/>
      <c r="J5" s="30"/>
      <c r="K5" s="20" t="str">
        <f aca="false">IF($A5="","",IF(IFERROR(INDEX(Payments!$N$5:$N$64,MATCH($A5,Payments!$B$5:$B$64,0)),"")="Paid","Yes","No"))</f>
        <v/>
      </c>
      <c r="L5" s="30"/>
      <c r="M5" s="30"/>
      <c r="N5" s="43" t="str">
        <f aca="false">IF($A5="","",IFERROR(INDEX('Project Financials'!$D$5:$D$64,MATCH($A5,'Project Financials'!$A$5:$A$64,0)),""))</f>
        <v/>
      </c>
      <c r="O5" s="43" t="str">
        <f aca="false">IF($A5="","",IFERROR(INDEX('Project Financials'!$U$5:$U$64,MATCH($A5,'Project Financials'!$A$5:$A$64,0)),""))</f>
        <v/>
      </c>
      <c r="P5" s="43" t="str">
        <f aca="false">IF($A5="","",IFERROR(INDEX('Project Financials'!$AA$5:$AA$64,MATCH($A5,'Project Financials'!$A$5:$A$64,0)),""))</f>
        <v/>
      </c>
      <c r="Q5" s="47" t="str">
        <f aca="false">IF($A5="","",IFERROR(INDEX('Project Financials'!$AC$5:$AC$64,MATCH($A5,'Project Financials'!$A$5:$A$64,0)),""))</f>
        <v/>
      </c>
      <c r="R5" s="20" t="str">
        <f aca="false">IF($A5="","",IFERROR(INDEX('Project Financials'!$V$5:$V$64,MATCH($A5,'Project Financials'!$A$5:$A$64,0)),""))</f>
        <v/>
      </c>
      <c r="S5" s="20" t="str">
        <f aca="false">IF($A5="","",IFERROR(_xlfn.MAXIFS('Iteration Tracker'!$D$5:$D$124,'Iteration Tracker'!$A$5:$A$124,$A5),""))</f>
        <v/>
      </c>
      <c r="T5" s="30"/>
      <c r="U5" s="30"/>
      <c r="V5" s="34"/>
      <c r="W5" s="34"/>
      <c r="X5" s="34"/>
    </row>
    <row r="6" customFormat="false" ht="39.75" hidden="false" customHeight="true" outlineLevel="0" collapsed="false">
      <c r="A6" s="30"/>
      <c r="B6" s="37" t="str">
        <f aca="false">IF($A6="","",IFERROR(INDEX('Fragrance Projects'!$C$5:$C$64,MATCH($A6,'Fragrance Projects'!$A$5:$A$64,0)),""))</f>
        <v/>
      </c>
      <c r="C6" s="37" t="str">
        <f aca="false">IF($A6="","",IFERROR(INDEX('Fragrance Projects'!$D$5:$D$64,MATCH($A6,'Fragrance Projects'!$A$5:$A$64,0)),""))</f>
        <v/>
      </c>
      <c r="D6" s="20" t="str">
        <f aca="false">IF($A6="","",IFERROR(INDEX('Iteration Tracker'!$E$5:$E$124,SUMPRODUCT(SMALL(IF((('Iteration Tracker'!$A$5:$A$124=$A6)*('Iteration Tracker'!$D$5:$D$124=_xlfn.MAXIFS('Iteration Tracker'!$D$5:$D$124,'Iteration Tracker'!$A$5:$A$124,$A6))),ROW('Iteration Tracker'!$D$5:$D$124)-ROW(INDEX('Iteration Tracker'!$D$5:$D$124,1))+1),1))),""))</f>
        <v/>
      </c>
      <c r="E6" s="31"/>
      <c r="F6" s="30"/>
      <c r="G6" s="30"/>
      <c r="H6" s="30"/>
      <c r="I6" s="30"/>
      <c r="J6" s="30"/>
      <c r="K6" s="20" t="str">
        <f aca="false">IF($A6="","",IF(IFERROR(INDEX(Payments!$N$5:$N$64,MATCH($A6,Payments!$B$5:$B$64,0)),"")="Paid","Yes","No"))</f>
        <v/>
      </c>
      <c r="L6" s="30"/>
      <c r="M6" s="30"/>
      <c r="N6" s="43" t="str">
        <f aca="false">IF($A6="","",IFERROR(INDEX('Project Financials'!$D$5:$D$64,MATCH($A6,'Project Financials'!$A$5:$A$64,0)),""))</f>
        <v/>
      </c>
      <c r="O6" s="43" t="str">
        <f aca="false">IF($A6="","",IFERROR(INDEX('Project Financials'!$U$5:$U$64,MATCH($A6,'Project Financials'!$A$5:$A$64,0)),""))</f>
        <v/>
      </c>
      <c r="P6" s="43" t="str">
        <f aca="false">IF($A6="","",IFERROR(INDEX('Project Financials'!$AA$5:$AA$64,MATCH($A6,'Project Financials'!$A$5:$A$64,0)),""))</f>
        <v/>
      </c>
      <c r="Q6" s="47" t="str">
        <f aca="false">IF($A6="","",IFERROR(INDEX('Project Financials'!$AC$5:$AC$64,MATCH($A6,'Project Financials'!$A$5:$A$64,0)),""))</f>
        <v/>
      </c>
      <c r="R6" s="20" t="str">
        <f aca="false">IF($A6="","",IFERROR(INDEX('Project Financials'!$V$5:$V$64,MATCH($A6,'Project Financials'!$A$5:$A$64,0)),""))</f>
        <v/>
      </c>
      <c r="S6" s="20" t="str">
        <f aca="false">IF($A6="","",IFERROR(_xlfn.MAXIFS('Iteration Tracker'!$D$5:$D$124,'Iteration Tracker'!$A$5:$A$124,$A6),""))</f>
        <v/>
      </c>
      <c r="T6" s="30"/>
      <c r="U6" s="30"/>
      <c r="V6" s="34"/>
      <c r="W6" s="34"/>
      <c r="X6" s="34"/>
    </row>
    <row r="7" customFormat="false" ht="39.75" hidden="false" customHeight="true" outlineLevel="0" collapsed="false">
      <c r="A7" s="30"/>
      <c r="B7" s="37" t="str">
        <f aca="false">IF($A7="","",IFERROR(INDEX('Fragrance Projects'!$C$5:$C$64,MATCH($A7,'Fragrance Projects'!$A$5:$A$64,0)),""))</f>
        <v/>
      </c>
      <c r="C7" s="37" t="str">
        <f aca="false">IF($A7="","",IFERROR(INDEX('Fragrance Projects'!$D$5:$D$64,MATCH($A7,'Fragrance Projects'!$A$5:$A$64,0)),""))</f>
        <v/>
      </c>
      <c r="D7" s="20" t="str">
        <f aca="false">IF($A7="","",IFERROR(INDEX('Iteration Tracker'!$E$5:$E$124,SUMPRODUCT(SMALL(IF((('Iteration Tracker'!$A$5:$A$124=$A7)*('Iteration Tracker'!$D$5:$D$124=_xlfn.MAXIFS('Iteration Tracker'!$D$5:$D$124,'Iteration Tracker'!$A$5:$A$124,$A7))),ROW('Iteration Tracker'!$D$5:$D$124)-ROW(INDEX('Iteration Tracker'!$D$5:$D$124,1))+1),1))),""))</f>
        <v/>
      </c>
      <c r="E7" s="31"/>
      <c r="F7" s="30"/>
      <c r="G7" s="30"/>
      <c r="H7" s="30"/>
      <c r="I7" s="30"/>
      <c r="J7" s="30"/>
      <c r="K7" s="20" t="str">
        <f aca="false">IF($A7="","",IF(IFERROR(INDEX(Payments!$N$5:$N$64,MATCH($A7,Payments!$B$5:$B$64,0)),"")="Paid","Yes","No"))</f>
        <v/>
      </c>
      <c r="L7" s="30"/>
      <c r="M7" s="30"/>
      <c r="N7" s="43" t="str">
        <f aca="false">IF($A7="","",IFERROR(INDEX('Project Financials'!$D$5:$D$64,MATCH($A7,'Project Financials'!$A$5:$A$64,0)),""))</f>
        <v/>
      </c>
      <c r="O7" s="43" t="str">
        <f aca="false">IF($A7="","",IFERROR(INDEX('Project Financials'!$U$5:$U$64,MATCH($A7,'Project Financials'!$A$5:$A$64,0)),""))</f>
        <v/>
      </c>
      <c r="P7" s="43" t="str">
        <f aca="false">IF($A7="","",IFERROR(INDEX('Project Financials'!$AA$5:$AA$64,MATCH($A7,'Project Financials'!$A$5:$A$64,0)),""))</f>
        <v/>
      </c>
      <c r="Q7" s="47" t="str">
        <f aca="false">IF($A7="","",IFERROR(INDEX('Project Financials'!$AC$5:$AC$64,MATCH($A7,'Project Financials'!$A$5:$A$64,0)),""))</f>
        <v/>
      </c>
      <c r="R7" s="20" t="str">
        <f aca="false">IF($A7="","",IFERROR(INDEX('Project Financials'!$V$5:$V$64,MATCH($A7,'Project Financials'!$A$5:$A$64,0)),""))</f>
        <v/>
      </c>
      <c r="S7" s="20" t="str">
        <f aca="false">IF($A7="","",IFERROR(_xlfn.MAXIFS('Iteration Tracker'!$D$5:$D$124,'Iteration Tracker'!$A$5:$A$124,$A7),""))</f>
        <v/>
      </c>
      <c r="T7" s="30"/>
      <c r="U7" s="30"/>
      <c r="V7" s="34"/>
      <c r="W7" s="34"/>
      <c r="X7" s="34"/>
    </row>
    <row r="8" customFormat="false" ht="39.75" hidden="false" customHeight="true" outlineLevel="0" collapsed="false">
      <c r="A8" s="30"/>
      <c r="B8" s="37" t="str">
        <f aca="false">IF($A8="","",IFERROR(INDEX('Fragrance Projects'!$C$5:$C$64,MATCH($A8,'Fragrance Projects'!$A$5:$A$64,0)),""))</f>
        <v/>
      </c>
      <c r="C8" s="37" t="str">
        <f aca="false">IF($A8="","",IFERROR(INDEX('Fragrance Projects'!$D$5:$D$64,MATCH($A8,'Fragrance Projects'!$A$5:$A$64,0)),""))</f>
        <v/>
      </c>
      <c r="D8" s="20" t="str">
        <f aca="false">IF($A8="","",IFERROR(INDEX('Iteration Tracker'!$E$5:$E$124,SUMPRODUCT(SMALL(IF((('Iteration Tracker'!$A$5:$A$124=$A8)*('Iteration Tracker'!$D$5:$D$124=_xlfn.MAXIFS('Iteration Tracker'!$D$5:$D$124,'Iteration Tracker'!$A$5:$A$124,$A8))),ROW('Iteration Tracker'!$D$5:$D$124)-ROW(INDEX('Iteration Tracker'!$D$5:$D$124,1))+1),1))),""))</f>
        <v/>
      </c>
      <c r="E8" s="31"/>
      <c r="F8" s="30"/>
      <c r="G8" s="30"/>
      <c r="H8" s="30"/>
      <c r="I8" s="30"/>
      <c r="J8" s="30"/>
      <c r="K8" s="20" t="str">
        <f aca="false">IF($A8="","",IF(IFERROR(INDEX(Payments!$N$5:$N$64,MATCH($A8,Payments!$B$5:$B$64,0)),"")="Paid","Yes","No"))</f>
        <v/>
      </c>
      <c r="L8" s="30"/>
      <c r="M8" s="30"/>
      <c r="N8" s="43" t="str">
        <f aca="false">IF($A8="","",IFERROR(INDEX('Project Financials'!$D$5:$D$64,MATCH($A8,'Project Financials'!$A$5:$A$64,0)),""))</f>
        <v/>
      </c>
      <c r="O8" s="43" t="str">
        <f aca="false">IF($A8="","",IFERROR(INDEX('Project Financials'!$U$5:$U$64,MATCH($A8,'Project Financials'!$A$5:$A$64,0)),""))</f>
        <v/>
      </c>
      <c r="P8" s="43" t="str">
        <f aca="false">IF($A8="","",IFERROR(INDEX('Project Financials'!$AA$5:$AA$64,MATCH($A8,'Project Financials'!$A$5:$A$64,0)),""))</f>
        <v/>
      </c>
      <c r="Q8" s="47" t="str">
        <f aca="false">IF($A8="","",IFERROR(INDEX('Project Financials'!$AC$5:$AC$64,MATCH($A8,'Project Financials'!$A$5:$A$64,0)),""))</f>
        <v/>
      </c>
      <c r="R8" s="20" t="str">
        <f aca="false">IF($A8="","",IFERROR(INDEX('Project Financials'!$V$5:$V$64,MATCH($A8,'Project Financials'!$A$5:$A$64,0)),""))</f>
        <v/>
      </c>
      <c r="S8" s="20" t="str">
        <f aca="false">IF($A8="","",IFERROR(_xlfn.MAXIFS('Iteration Tracker'!$D$5:$D$124,'Iteration Tracker'!$A$5:$A$124,$A8),""))</f>
        <v/>
      </c>
      <c r="T8" s="30"/>
      <c r="U8" s="30"/>
      <c r="V8" s="34"/>
      <c r="W8" s="34"/>
      <c r="X8" s="34"/>
    </row>
    <row r="9" customFormat="false" ht="39.75" hidden="false" customHeight="true" outlineLevel="0" collapsed="false">
      <c r="A9" s="30"/>
      <c r="B9" s="37" t="str">
        <f aca="false">IF($A9="","",IFERROR(INDEX('Fragrance Projects'!$C$5:$C$64,MATCH($A9,'Fragrance Projects'!$A$5:$A$64,0)),""))</f>
        <v/>
      </c>
      <c r="C9" s="37" t="str">
        <f aca="false">IF($A9="","",IFERROR(INDEX('Fragrance Projects'!$D$5:$D$64,MATCH($A9,'Fragrance Projects'!$A$5:$A$64,0)),""))</f>
        <v/>
      </c>
      <c r="D9" s="20" t="str">
        <f aca="false">IF($A9="","",IFERROR(INDEX('Iteration Tracker'!$E$5:$E$124,SUMPRODUCT(SMALL(IF((('Iteration Tracker'!$A$5:$A$124=$A9)*('Iteration Tracker'!$D$5:$D$124=_xlfn.MAXIFS('Iteration Tracker'!$D$5:$D$124,'Iteration Tracker'!$A$5:$A$124,$A9))),ROW('Iteration Tracker'!$D$5:$D$124)-ROW(INDEX('Iteration Tracker'!$D$5:$D$124,1))+1),1))),""))</f>
        <v/>
      </c>
      <c r="E9" s="31"/>
      <c r="F9" s="30"/>
      <c r="G9" s="30"/>
      <c r="H9" s="30"/>
      <c r="I9" s="30"/>
      <c r="J9" s="30"/>
      <c r="K9" s="20" t="str">
        <f aca="false">IF($A9="","",IF(IFERROR(INDEX(Payments!$N$5:$N$64,MATCH($A9,Payments!$B$5:$B$64,0)),"")="Paid","Yes","No"))</f>
        <v/>
      </c>
      <c r="L9" s="30"/>
      <c r="M9" s="30"/>
      <c r="N9" s="43" t="str">
        <f aca="false">IF($A9="","",IFERROR(INDEX('Project Financials'!$D$5:$D$64,MATCH($A9,'Project Financials'!$A$5:$A$64,0)),""))</f>
        <v/>
      </c>
      <c r="O9" s="43" t="str">
        <f aca="false">IF($A9="","",IFERROR(INDEX('Project Financials'!$U$5:$U$64,MATCH($A9,'Project Financials'!$A$5:$A$64,0)),""))</f>
        <v/>
      </c>
      <c r="P9" s="43" t="str">
        <f aca="false">IF($A9="","",IFERROR(INDEX('Project Financials'!$AA$5:$AA$64,MATCH($A9,'Project Financials'!$A$5:$A$64,0)),""))</f>
        <v/>
      </c>
      <c r="Q9" s="47" t="str">
        <f aca="false">IF($A9="","",IFERROR(INDEX('Project Financials'!$AC$5:$AC$64,MATCH($A9,'Project Financials'!$A$5:$A$64,0)),""))</f>
        <v/>
      </c>
      <c r="R9" s="20" t="str">
        <f aca="false">IF($A9="","",IFERROR(INDEX('Project Financials'!$V$5:$V$64,MATCH($A9,'Project Financials'!$A$5:$A$64,0)),""))</f>
        <v/>
      </c>
      <c r="S9" s="20" t="str">
        <f aca="false">IF($A9="","",IFERROR(_xlfn.MAXIFS('Iteration Tracker'!$D$5:$D$124,'Iteration Tracker'!$A$5:$A$124,$A9),""))</f>
        <v/>
      </c>
      <c r="T9" s="30"/>
      <c r="U9" s="30"/>
      <c r="V9" s="34"/>
      <c r="W9" s="34"/>
      <c r="X9" s="34"/>
    </row>
    <row r="10" customFormat="false" ht="39.75" hidden="false" customHeight="true" outlineLevel="0" collapsed="false">
      <c r="A10" s="30"/>
      <c r="B10" s="37" t="str">
        <f aca="false">IF($A10="","",IFERROR(INDEX('Fragrance Projects'!$C$5:$C$64,MATCH($A10,'Fragrance Projects'!$A$5:$A$64,0)),""))</f>
        <v/>
      </c>
      <c r="C10" s="37" t="str">
        <f aca="false">IF($A10="","",IFERROR(INDEX('Fragrance Projects'!$D$5:$D$64,MATCH($A10,'Fragrance Projects'!$A$5:$A$64,0)),""))</f>
        <v/>
      </c>
      <c r="D10" s="20" t="str">
        <f aca="false">IF($A10="","",IFERROR(INDEX('Iteration Tracker'!$E$5:$E$124,SUMPRODUCT(SMALL(IF((('Iteration Tracker'!$A$5:$A$124=$A10)*('Iteration Tracker'!$D$5:$D$124=_xlfn.MAXIFS('Iteration Tracker'!$D$5:$D$124,'Iteration Tracker'!$A$5:$A$124,$A10))),ROW('Iteration Tracker'!$D$5:$D$124)-ROW(INDEX('Iteration Tracker'!$D$5:$D$124,1))+1),1))),""))</f>
        <v/>
      </c>
      <c r="E10" s="31"/>
      <c r="F10" s="30"/>
      <c r="G10" s="30"/>
      <c r="H10" s="30"/>
      <c r="I10" s="30"/>
      <c r="J10" s="30"/>
      <c r="K10" s="20" t="str">
        <f aca="false">IF($A10="","",IF(IFERROR(INDEX(Payments!$N$5:$N$64,MATCH($A10,Payments!$B$5:$B$64,0)),"")="Paid","Yes","No"))</f>
        <v/>
      </c>
      <c r="L10" s="30"/>
      <c r="M10" s="30"/>
      <c r="N10" s="43" t="str">
        <f aca="false">IF($A10="","",IFERROR(INDEX('Project Financials'!$D$5:$D$64,MATCH($A10,'Project Financials'!$A$5:$A$64,0)),""))</f>
        <v/>
      </c>
      <c r="O10" s="43" t="str">
        <f aca="false">IF($A10="","",IFERROR(INDEX('Project Financials'!$U$5:$U$64,MATCH($A10,'Project Financials'!$A$5:$A$64,0)),""))</f>
        <v/>
      </c>
      <c r="P10" s="43" t="str">
        <f aca="false">IF($A10="","",IFERROR(INDEX('Project Financials'!$AA$5:$AA$64,MATCH($A10,'Project Financials'!$A$5:$A$64,0)),""))</f>
        <v/>
      </c>
      <c r="Q10" s="47" t="str">
        <f aca="false">IF($A10="","",IFERROR(INDEX('Project Financials'!$AC$5:$AC$64,MATCH($A10,'Project Financials'!$A$5:$A$64,0)),""))</f>
        <v/>
      </c>
      <c r="R10" s="20" t="str">
        <f aca="false">IF($A10="","",IFERROR(INDEX('Project Financials'!$V$5:$V$64,MATCH($A10,'Project Financials'!$A$5:$A$64,0)),""))</f>
        <v/>
      </c>
      <c r="S10" s="20" t="str">
        <f aca="false">IF($A10="","",IFERROR(_xlfn.MAXIFS('Iteration Tracker'!$D$5:$D$124,'Iteration Tracker'!$A$5:$A$124,$A10),""))</f>
        <v/>
      </c>
      <c r="T10" s="30"/>
      <c r="U10" s="30"/>
      <c r="V10" s="34"/>
      <c r="W10" s="34"/>
      <c r="X10" s="34"/>
    </row>
    <row r="11" customFormat="false" ht="39.75" hidden="false" customHeight="true" outlineLevel="0" collapsed="false">
      <c r="A11" s="30"/>
      <c r="B11" s="37" t="str">
        <f aca="false">IF($A11="","",IFERROR(INDEX('Fragrance Projects'!$C$5:$C$64,MATCH($A11,'Fragrance Projects'!$A$5:$A$64,0)),""))</f>
        <v/>
      </c>
      <c r="C11" s="37" t="str">
        <f aca="false">IF($A11="","",IFERROR(INDEX('Fragrance Projects'!$D$5:$D$64,MATCH($A11,'Fragrance Projects'!$A$5:$A$64,0)),""))</f>
        <v/>
      </c>
      <c r="D11" s="20" t="str">
        <f aca="false">IF($A11="","",IFERROR(INDEX('Iteration Tracker'!$E$5:$E$124,SUMPRODUCT(SMALL(IF((('Iteration Tracker'!$A$5:$A$124=$A11)*('Iteration Tracker'!$D$5:$D$124=_xlfn.MAXIFS('Iteration Tracker'!$D$5:$D$124,'Iteration Tracker'!$A$5:$A$124,$A11))),ROW('Iteration Tracker'!$D$5:$D$124)-ROW(INDEX('Iteration Tracker'!$D$5:$D$124,1))+1),1))),""))</f>
        <v/>
      </c>
      <c r="E11" s="31"/>
      <c r="F11" s="30"/>
      <c r="G11" s="30"/>
      <c r="H11" s="30"/>
      <c r="I11" s="30"/>
      <c r="J11" s="30"/>
      <c r="K11" s="20" t="str">
        <f aca="false">IF($A11="","",IF(IFERROR(INDEX(Payments!$N$5:$N$64,MATCH($A11,Payments!$B$5:$B$64,0)),"")="Paid","Yes","No"))</f>
        <v/>
      </c>
      <c r="L11" s="30"/>
      <c r="M11" s="30"/>
      <c r="N11" s="43" t="str">
        <f aca="false">IF($A11="","",IFERROR(INDEX('Project Financials'!$D$5:$D$64,MATCH($A11,'Project Financials'!$A$5:$A$64,0)),""))</f>
        <v/>
      </c>
      <c r="O11" s="43" t="str">
        <f aca="false">IF($A11="","",IFERROR(INDEX('Project Financials'!$U$5:$U$64,MATCH($A11,'Project Financials'!$A$5:$A$64,0)),""))</f>
        <v/>
      </c>
      <c r="P11" s="43" t="str">
        <f aca="false">IF($A11="","",IFERROR(INDEX('Project Financials'!$AA$5:$AA$64,MATCH($A11,'Project Financials'!$A$5:$A$64,0)),""))</f>
        <v/>
      </c>
      <c r="Q11" s="47" t="str">
        <f aca="false">IF($A11="","",IFERROR(INDEX('Project Financials'!$AC$5:$AC$64,MATCH($A11,'Project Financials'!$A$5:$A$64,0)),""))</f>
        <v/>
      </c>
      <c r="R11" s="20" t="str">
        <f aca="false">IF($A11="","",IFERROR(INDEX('Project Financials'!$V$5:$V$64,MATCH($A11,'Project Financials'!$A$5:$A$64,0)),""))</f>
        <v/>
      </c>
      <c r="S11" s="20" t="str">
        <f aca="false">IF($A11="","",IFERROR(_xlfn.MAXIFS('Iteration Tracker'!$D$5:$D$124,'Iteration Tracker'!$A$5:$A$124,$A11),""))</f>
        <v/>
      </c>
      <c r="T11" s="30"/>
      <c r="U11" s="30"/>
      <c r="V11" s="34"/>
      <c r="W11" s="34"/>
      <c r="X11" s="34"/>
    </row>
    <row r="12" customFormat="false" ht="39.75" hidden="false" customHeight="true" outlineLevel="0" collapsed="false">
      <c r="A12" s="30"/>
      <c r="B12" s="37" t="str">
        <f aca="false">IF($A12="","",IFERROR(INDEX('Fragrance Projects'!$C$5:$C$64,MATCH($A12,'Fragrance Projects'!$A$5:$A$64,0)),""))</f>
        <v/>
      </c>
      <c r="C12" s="37" t="str">
        <f aca="false">IF($A12="","",IFERROR(INDEX('Fragrance Projects'!$D$5:$D$64,MATCH($A12,'Fragrance Projects'!$A$5:$A$64,0)),""))</f>
        <v/>
      </c>
      <c r="D12" s="20" t="str">
        <f aca="false">IF($A12="","",IFERROR(INDEX('Iteration Tracker'!$E$5:$E$124,SUMPRODUCT(SMALL(IF((('Iteration Tracker'!$A$5:$A$124=$A12)*('Iteration Tracker'!$D$5:$D$124=_xlfn.MAXIFS('Iteration Tracker'!$D$5:$D$124,'Iteration Tracker'!$A$5:$A$124,$A12))),ROW('Iteration Tracker'!$D$5:$D$124)-ROW(INDEX('Iteration Tracker'!$D$5:$D$124,1))+1),1))),""))</f>
        <v/>
      </c>
      <c r="E12" s="31"/>
      <c r="F12" s="30"/>
      <c r="G12" s="30"/>
      <c r="H12" s="30"/>
      <c r="I12" s="30"/>
      <c r="J12" s="30"/>
      <c r="K12" s="20" t="str">
        <f aca="false">IF($A12="","",IF(IFERROR(INDEX(Payments!$N$5:$N$64,MATCH($A12,Payments!$B$5:$B$64,0)),"")="Paid","Yes","No"))</f>
        <v/>
      </c>
      <c r="L12" s="30"/>
      <c r="M12" s="30"/>
      <c r="N12" s="43" t="str">
        <f aca="false">IF($A12="","",IFERROR(INDEX('Project Financials'!$D$5:$D$64,MATCH($A12,'Project Financials'!$A$5:$A$64,0)),""))</f>
        <v/>
      </c>
      <c r="O12" s="43" t="str">
        <f aca="false">IF($A12="","",IFERROR(INDEX('Project Financials'!$U$5:$U$64,MATCH($A12,'Project Financials'!$A$5:$A$64,0)),""))</f>
        <v/>
      </c>
      <c r="P12" s="43" t="str">
        <f aca="false">IF($A12="","",IFERROR(INDEX('Project Financials'!$AA$5:$AA$64,MATCH($A12,'Project Financials'!$A$5:$A$64,0)),""))</f>
        <v/>
      </c>
      <c r="Q12" s="47" t="str">
        <f aca="false">IF($A12="","",IFERROR(INDEX('Project Financials'!$AC$5:$AC$64,MATCH($A12,'Project Financials'!$A$5:$A$64,0)),""))</f>
        <v/>
      </c>
      <c r="R12" s="20" t="str">
        <f aca="false">IF($A12="","",IFERROR(INDEX('Project Financials'!$V$5:$V$64,MATCH($A12,'Project Financials'!$A$5:$A$64,0)),""))</f>
        <v/>
      </c>
      <c r="S12" s="20" t="str">
        <f aca="false">IF($A12="","",IFERROR(_xlfn.MAXIFS('Iteration Tracker'!$D$5:$D$124,'Iteration Tracker'!$A$5:$A$124,$A12),""))</f>
        <v/>
      </c>
      <c r="T12" s="30"/>
      <c r="U12" s="30"/>
      <c r="V12" s="34"/>
      <c r="W12" s="34"/>
      <c r="X12" s="34"/>
    </row>
    <row r="13" customFormat="false" ht="39.75" hidden="false" customHeight="true" outlineLevel="0" collapsed="false">
      <c r="A13" s="30"/>
      <c r="B13" s="37" t="str">
        <f aca="false">IF($A13="","",IFERROR(INDEX('Fragrance Projects'!$C$5:$C$64,MATCH($A13,'Fragrance Projects'!$A$5:$A$64,0)),""))</f>
        <v/>
      </c>
      <c r="C13" s="37" t="str">
        <f aca="false">IF($A13="","",IFERROR(INDEX('Fragrance Projects'!$D$5:$D$64,MATCH($A13,'Fragrance Projects'!$A$5:$A$64,0)),""))</f>
        <v/>
      </c>
      <c r="D13" s="20" t="str">
        <f aca="false">IF($A13="","",IFERROR(INDEX('Iteration Tracker'!$E$5:$E$124,SUMPRODUCT(SMALL(IF((('Iteration Tracker'!$A$5:$A$124=$A13)*('Iteration Tracker'!$D$5:$D$124=_xlfn.MAXIFS('Iteration Tracker'!$D$5:$D$124,'Iteration Tracker'!$A$5:$A$124,$A13))),ROW('Iteration Tracker'!$D$5:$D$124)-ROW(INDEX('Iteration Tracker'!$D$5:$D$124,1))+1),1))),""))</f>
        <v/>
      </c>
      <c r="E13" s="31"/>
      <c r="F13" s="30"/>
      <c r="G13" s="30"/>
      <c r="H13" s="30"/>
      <c r="I13" s="30"/>
      <c r="J13" s="30"/>
      <c r="K13" s="20" t="str">
        <f aca="false">IF($A13="","",IF(IFERROR(INDEX(Payments!$N$5:$N$64,MATCH($A13,Payments!$B$5:$B$64,0)),"")="Paid","Yes","No"))</f>
        <v/>
      </c>
      <c r="L13" s="30"/>
      <c r="M13" s="30"/>
      <c r="N13" s="43" t="str">
        <f aca="false">IF($A13="","",IFERROR(INDEX('Project Financials'!$D$5:$D$64,MATCH($A13,'Project Financials'!$A$5:$A$64,0)),""))</f>
        <v/>
      </c>
      <c r="O13" s="43" t="str">
        <f aca="false">IF($A13="","",IFERROR(INDEX('Project Financials'!$U$5:$U$64,MATCH($A13,'Project Financials'!$A$5:$A$64,0)),""))</f>
        <v/>
      </c>
      <c r="P13" s="43" t="str">
        <f aca="false">IF($A13="","",IFERROR(INDEX('Project Financials'!$AA$5:$AA$64,MATCH($A13,'Project Financials'!$A$5:$A$64,0)),""))</f>
        <v/>
      </c>
      <c r="Q13" s="47" t="str">
        <f aca="false">IF($A13="","",IFERROR(INDEX('Project Financials'!$AC$5:$AC$64,MATCH($A13,'Project Financials'!$A$5:$A$64,0)),""))</f>
        <v/>
      </c>
      <c r="R13" s="20" t="str">
        <f aca="false">IF($A13="","",IFERROR(INDEX('Project Financials'!$V$5:$V$64,MATCH($A13,'Project Financials'!$A$5:$A$64,0)),""))</f>
        <v/>
      </c>
      <c r="S13" s="20" t="str">
        <f aca="false">IF($A13="","",IFERROR(_xlfn.MAXIFS('Iteration Tracker'!$D$5:$D$124,'Iteration Tracker'!$A$5:$A$124,$A13),""))</f>
        <v/>
      </c>
      <c r="T13" s="30"/>
      <c r="U13" s="30"/>
      <c r="V13" s="34"/>
      <c r="W13" s="34"/>
      <c r="X13" s="34"/>
    </row>
    <row r="14" customFormat="false" ht="39.75" hidden="false" customHeight="true" outlineLevel="0" collapsed="false">
      <c r="A14" s="30"/>
      <c r="B14" s="37" t="str">
        <f aca="false">IF($A14="","",IFERROR(INDEX('Fragrance Projects'!$C$5:$C$64,MATCH($A14,'Fragrance Projects'!$A$5:$A$64,0)),""))</f>
        <v/>
      </c>
      <c r="C14" s="37" t="str">
        <f aca="false">IF($A14="","",IFERROR(INDEX('Fragrance Projects'!$D$5:$D$64,MATCH($A14,'Fragrance Projects'!$A$5:$A$64,0)),""))</f>
        <v/>
      </c>
      <c r="D14" s="20" t="str">
        <f aca="false">IF($A14="","",IFERROR(INDEX('Iteration Tracker'!$E$5:$E$124,SUMPRODUCT(SMALL(IF((('Iteration Tracker'!$A$5:$A$124=$A14)*('Iteration Tracker'!$D$5:$D$124=_xlfn.MAXIFS('Iteration Tracker'!$D$5:$D$124,'Iteration Tracker'!$A$5:$A$124,$A14))),ROW('Iteration Tracker'!$D$5:$D$124)-ROW(INDEX('Iteration Tracker'!$D$5:$D$124,1))+1),1))),""))</f>
        <v/>
      </c>
      <c r="E14" s="31"/>
      <c r="F14" s="30"/>
      <c r="G14" s="30"/>
      <c r="H14" s="30"/>
      <c r="I14" s="30"/>
      <c r="J14" s="30"/>
      <c r="K14" s="20" t="str">
        <f aca="false">IF($A14="","",IF(IFERROR(INDEX(Payments!$N$5:$N$64,MATCH($A14,Payments!$B$5:$B$64,0)),"")="Paid","Yes","No"))</f>
        <v/>
      </c>
      <c r="L14" s="30"/>
      <c r="M14" s="30"/>
      <c r="N14" s="43" t="str">
        <f aca="false">IF($A14="","",IFERROR(INDEX('Project Financials'!$D$5:$D$64,MATCH($A14,'Project Financials'!$A$5:$A$64,0)),""))</f>
        <v/>
      </c>
      <c r="O14" s="43" t="str">
        <f aca="false">IF($A14="","",IFERROR(INDEX('Project Financials'!$U$5:$U$64,MATCH($A14,'Project Financials'!$A$5:$A$64,0)),""))</f>
        <v/>
      </c>
      <c r="P14" s="43" t="str">
        <f aca="false">IF($A14="","",IFERROR(INDEX('Project Financials'!$AA$5:$AA$64,MATCH($A14,'Project Financials'!$A$5:$A$64,0)),""))</f>
        <v/>
      </c>
      <c r="Q14" s="47" t="str">
        <f aca="false">IF($A14="","",IFERROR(INDEX('Project Financials'!$AC$5:$AC$64,MATCH($A14,'Project Financials'!$A$5:$A$64,0)),""))</f>
        <v/>
      </c>
      <c r="R14" s="20" t="str">
        <f aca="false">IF($A14="","",IFERROR(INDEX('Project Financials'!$V$5:$V$64,MATCH($A14,'Project Financials'!$A$5:$A$64,0)),""))</f>
        <v/>
      </c>
      <c r="S14" s="20" t="str">
        <f aca="false">IF($A14="","",IFERROR(_xlfn.MAXIFS('Iteration Tracker'!$D$5:$D$124,'Iteration Tracker'!$A$5:$A$124,$A14),""))</f>
        <v/>
      </c>
      <c r="T14" s="30"/>
      <c r="U14" s="30"/>
      <c r="V14" s="34"/>
      <c r="W14" s="34"/>
      <c r="X14" s="34"/>
    </row>
    <row r="15" customFormat="false" ht="39.75" hidden="false" customHeight="true" outlineLevel="0" collapsed="false">
      <c r="A15" s="30"/>
      <c r="B15" s="37" t="str">
        <f aca="false">IF($A15="","",IFERROR(INDEX('Fragrance Projects'!$C$5:$C$64,MATCH($A15,'Fragrance Projects'!$A$5:$A$64,0)),""))</f>
        <v/>
      </c>
      <c r="C15" s="37" t="str">
        <f aca="false">IF($A15="","",IFERROR(INDEX('Fragrance Projects'!$D$5:$D$64,MATCH($A15,'Fragrance Projects'!$A$5:$A$64,0)),""))</f>
        <v/>
      </c>
      <c r="D15" s="20" t="str">
        <f aca="false">IF($A15="","",IFERROR(INDEX('Iteration Tracker'!$E$5:$E$124,SUMPRODUCT(SMALL(IF((('Iteration Tracker'!$A$5:$A$124=$A15)*('Iteration Tracker'!$D$5:$D$124=_xlfn.MAXIFS('Iteration Tracker'!$D$5:$D$124,'Iteration Tracker'!$A$5:$A$124,$A15))),ROW('Iteration Tracker'!$D$5:$D$124)-ROW(INDEX('Iteration Tracker'!$D$5:$D$124,1))+1),1))),""))</f>
        <v/>
      </c>
      <c r="E15" s="31"/>
      <c r="F15" s="30"/>
      <c r="G15" s="30"/>
      <c r="H15" s="30"/>
      <c r="I15" s="30"/>
      <c r="J15" s="30"/>
      <c r="K15" s="20" t="str">
        <f aca="false">IF($A15="","",IF(IFERROR(INDEX(Payments!$N$5:$N$64,MATCH($A15,Payments!$B$5:$B$64,0)),"")="Paid","Yes","No"))</f>
        <v/>
      </c>
      <c r="L15" s="30"/>
      <c r="M15" s="30"/>
      <c r="N15" s="43" t="str">
        <f aca="false">IF($A15="","",IFERROR(INDEX('Project Financials'!$D$5:$D$64,MATCH($A15,'Project Financials'!$A$5:$A$64,0)),""))</f>
        <v/>
      </c>
      <c r="O15" s="43" t="str">
        <f aca="false">IF($A15="","",IFERROR(INDEX('Project Financials'!$U$5:$U$64,MATCH($A15,'Project Financials'!$A$5:$A$64,0)),""))</f>
        <v/>
      </c>
      <c r="P15" s="43" t="str">
        <f aca="false">IF($A15="","",IFERROR(INDEX('Project Financials'!$AA$5:$AA$64,MATCH($A15,'Project Financials'!$A$5:$A$64,0)),""))</f>
        <v/>
      </c>
      <c r="Q15" s="47" t="str">
        <f aca="false">IF($A15="","",IFERROR(INDEX('Project Financials'!$AC$5:$AC$64,MATCH($A15,'Project Financials'!$A$5:$A$64,0)),""))</f>
        <v/>
      </c>
      <c r="R15" s="20" t="str">
        <f aca="false">IF($A15="","",IFERROR(INDEX('Project Financials'!$V$5:$V$64,MATCH($A15,'Project Financials'!$A$5:$A$64,0)),""))</f>
        <v/>
      </c>
      <c r="S15" s="20" t="str">
        <f aca="false">IF($A15="","",IFERROR(_xlfn.MAXIFS('Iteration Tracker'!$D$5:$D$124,'Iteration Tracker'!$A$5:$A$124,$A15),""))</f>
        <v/>
      </c>
      <c r="T15" s="30"/>
      <c r="U15" s="30"/>
      <c r="V15" s="34"/>
      <c r="W15" s="34"/>
      <c r="X15" s="34"/>
    </row>
    <row r="16" customFormat="false" ht="39.75" hidden="false" customHeight="true" outlineLevel="0" collapsed="false">
      <c r="A16" s="30"/>
      <c r="B16" s="37" t="str">
        <f aca="false">IF($A16="","",IFERROR(INDEX('Fragrance Projects'!$C$5:$C$64,MATCH($A16,'Fragrance Projects'!$A$5:$A$64,0)),""))</f>
        <v/>
      </c>
      <c r="C16" s="37" t="str">
        <f aca="false">IF($A16="","",IFERROR(INDEX('Fragrance Projects'!$D$5:$D$64,MATCH($A16,'Fragrance Projects'!$A$5:$A$64,0)),""))</f>
        <v/>
      </c>
      <c r="D16" s="20" t="str">
        <f aca="false">IF($A16="","",IFERROR(INDEX('Iteration Tracker'!$E$5:$E$124,SUMPRODUCT(SMALL(IF((('Iteration Tracker'!$A$5:$A$124=$A16)*('Iteration Tracker'!$D$5:$D$124=_xlfn.MAXIFS('Iteration Tracker'!$D$5:$D$124,'Iteration Tracker'!$A$5:$A$124,$A16))),ROW('Iteration Tracker'!$D$5:$D$124)-ROW(INDEX('Iteration Tracker'!$D$5:$D$124,1))+1),1))),""))</f>
        <v/>
      </c>
      <c r="E16" s="31"/>
      <c r="F16" s="30"/>
      <c r="G16" s="30"/>
      <c r="H16" s="30"/>
      <c r="I16" s="30"/>
      <c r="J16" s="30"/>
      <c r="K16" s="20" t="str">
        <f aca="false">IF($A16="","",IF(IFERROR(INDEX(Payments!$N$5:$N$64,MATCH($A16,Payments!$B$5:$B$64,0)),"")="Paid","Yes","No"))</f>
        <v/>
      </c>
      <c r="L16" s="30"/>
      <c r="M16" s="30"/>
      <c r="N16" s="43" t="str">
        <f aca="false">IF($A16="","",IFERROR(INDEX('Project Financials'!$D$5:$D$64,MATCH($A16,'Project Financials'!$A$5:$A$64,0)),""))</f>
        <v/>
      </c>
      <c r="O16" s="43" t="str">
        <f aca="false">IF($A16="","",IFERROR(INDEX('Project Financials'!$U$5:$U$64,MATCH($A16,'Project Financials'!$A$5:$A$64,0)),""))</f>
        <v/>
      </c>
      <c r="P16" s="43" t="str">
        <f aca="false">IF($A16="","",IFERROR(INDEX('Project Financials'!$AA$5:$AA$64,MATCH($A16,'Project Financials'!$A$5:$A$64,0)),""))</f>
        <v/>
      </c>
      <c r="Q16" s="47" t="str">
        <f aca="false">IF($A16="","",IFERROR(INDEX('Project Financials'!$AC$5:$AC$64,MATCH($A16,'Project Financials'!$A$5:$A$64,0)),""))</f>
        <v/>
      </c>
      <c r="R16" s="20" t="str">
        <f aca="false">IF($A16="","",IFERROR(INDEX('Project Financials'!$V$5:$V$64,MATCH($A16,'Project Financials'!$A$5:$A$64,0)),""))</f>
        <v/>
      </c>
      <c r="S16" s="20" t="str">
        <f aca="false">IF($A16="","",IFERROR(_xlfn.MAXIFS('Iteration Tracker'!$D$5:$D$124,'Iteration Tracker'!$A$5:$A$124,$A16),""))</f>
        <v/>
      </c>
      <c r="T16" s="30"/>
      <c r="U16" s="30"/>
      <c r="V16" s="34"/>
      <c r="W16" s="34"/>
      <c r="X16" s="34"/>
    </row>
    <row r="17" customFormat="false" ht="39.75" hidden="false" customHeight="true" outlineLevel="0" collapsed="false">
      <c r="A17" s="30"/>
      <c r="B17" s="37" t="str">
        <f aca="false">IF($A17="","",IFERROR(INDEX('Fragrance Projects'!$C$5:$C$64,MATCH($A17,'Fragrance Projects'!$A$5:$A$64,0)),""))</f>
        <v/>
      </c>
      <c r="C17" s="37" t="str">
        <f aca="false">IF($A17="","",IFERROR(INDEX('Fragrance Projects'!$D$5:$D$64,MATCH($A17,'Fragrance Projects'!$A$5:$A$64,0)),""))</f>
        <v/>
      </c>
      <c r="D17" s="20" t="str">
        <f aca="false">IF($A17="","",IFERROR(INDEX('Iteration Tracker'!$E$5:$E$124,SUMPRODUCT(SMALL(IF((('Iteration Tracker'!$A$5:$A$124=$A17)*('Iteration Tracker'!$D$5:$D$124=_xlfn.MAXIFS('Iteration Tracker'!$D$5:$D$124,'Iteration Tracker'!$A$5:$A$124,$A17))),ROW('Iteration Tracker'!$D$5:$D$124)-ROW(INDEX('Iteration Tracker'!$D$5:$D$124,1))+1),1))),""))</f>
        <v/>
      </c>
      <c r="E17" s="31"/>
      <c r="F17" s="30"/>
      <c r="G17" s="30"/>
      <c r="H17" s="30"/>
      <c r="I17" s="30"/>
      <c r="J17" s="30"/>
      <c r="K17" s="20" t="str">
        <f aca="false">IF($A17="","",IF(IFERROR(INDEX(Payments!$N$5:$N$64,MATCH($A17,Payments!$B$5:$B$64,0)),"")="Paid","Yes","No"))</f>
        <v/>
      </c>
      <c r="L17" s="30"/>
      <c r="M17" s="30"/>
      <c r="N17" s="43" t="str">
        <f aca="false">IF($A17="","",IFERROR(INDEX('Project Financials'!$D$5:$D$64,MATCH($A17,'Project Financials'!$A$5:$A$64,0)),""))</f>
        <v/>
      </c>
      <c r="O17" s="43" t="str">
        <f aca="false">IF($A17="","",IFERROR(INDEX('Project Financials'!$U$5:$U$64,MATCH($A17,'Project Financials'!$A$5:$A$64,0)),""))</f>
        <v/>
      </c>
      <c r="P17" s="43" t="str">
        <f aca="false">IF($A17="","",IFERROR(INDEX('Project Financials'!$AA$5:$AA$64,MATCH($A17,'Project Financials'!$A$5:$A$64,0)),""))</f>
        <v/>
      </c>
      <c r="Q17" s="47" t="str">
        <f aca="false">IF($A17="","",IFERROR(INDEX('Project Financials'!$AC$5:$AC$64,MATCH($A17,'Project Financials'!$A$5:$A$64,0)),""))</f>
        <v/>
      </c>
      <c r="R17" s="20" t="str">
        <f aca="false">IF($A17="","",IFERROR(INDEX('Project Financials'!$V$5:$V$64,MATCH($A17,'Project Financials'!$A$5:$A$64,0)),""))</f>
        <v/>
      </c>
      <c r="S17" s="20" t="str">
        <f aca="false">IF($A17="","",IFERROR(_xlfn.MAXIFS('Iteration Tracker'!$D$5:$D$124,'Iteration Tracker'!$A$5:$A$124,$A17),""))</f>
        <v/>
      </c>
      <c r="T17" s="30"/>
      <c r="U17" s="30"/>
      <c r="V17" s="34"/>
      <c r="W17" s="34"/>
      <c r="X17" s="34"/>
    </row>
    <row r="18" customFormat="false" ht="39.75" hidden="false" customHeight="true" outlineLevel="0" collapsed="false">
      <c r="A18" s="30"/>
      <c r="B18" s="37" t="str">
        <f aca="false">IF($A18="","",IFERROR(INDEX('Fragrance Projects'!$C$5:$C$64,MATCH($A18,'Fragrance Projects'!$A$5:$A$64,0)),""))</f>
        <v/>
      </c>
      <c r="C18" s="37" t="str">
        <f aca="false">IF($A18="","",IFERROR(INDEX('Fragrance Projects'!$D$5:$D$64,MATCH($A18,'Fragrance Projects'!$A$5:$A$64,0)),""))</f>
        <v/>
      </c>
      <c r="D18" s="20" t="str">
        <f aca="false">IF($A18="","",IFERROR(INDEX('Iteration Tracker'!$E$5:$E$124,SUMPRODUCT(SMALL(IF((('Iteration Tracker'!$A$5:$A$124=$A18)*('Iteration Tracker'!$D$5:$D$124=_xlfn.MAXIFS('Iteration Tracker'!$D$5:$D$124,'Iteration Tracker'!$A$5:$A$124,$A18))),ROW('Iteration Tracker'!$D$5:$D$124)-ROW(INDEX('Iteration Tracker'!$D$5:$D$124,1))+1),1))),""))</f>
        <v/>
      </c>
      <c r="E18" s="31"/>
      <c r="F18" s="30"/>
      <c r="G18" s="30"/>
      <c r="H18" s="30"/>
      <c r="I18" s="30"/>
      <c r="J18" s="30"/>
      <c r="K18" s="20" t="str">
        <f aca="false">IF($A18="","",IF(IFERROR(INDEX(Payments!$N$5:$N$64,MATCH($A18,Payments!$B$5:$B$64,0)),"")="Paid","Yes","No"))</f>
        <v/>
      </c>
      <c r="L18" s="30"/>
      <c r="M18" s="30"/>
      <c r="N18" s="43" t="str">
        <f aca="false">IF($A18="","",IFERROR(INDEX('Project Financials'!$D$5:$D$64,MATCH($A18,'Project Financials'!$A$5:$A$64,0)),""))</f>
        <v/>
      </c>
      <c r="O18" s="43" t="str">
        <f aca="false">IF($A18="","",IFERROR(INDEX('Project Financials'!$U$5:$U$64,MATCH($A18,'Project Financials'!$A$5:$A$64,0)),""))</f>
        <v/>
      </c>
      <c r="P18" s="43" t="str">
        <f aca="false">IF($A18="","",IFERROR(INDEX('Project Financials'!$AA$5:$AA$64,MATCH($A18,'Project Financials'!$A$5:$A$64,0)),""))</f>
        <v/>
      </c>
      <c r="Q18" s="47" t="str">
        <f aca="false">IF($A18="","",IFERROR(INDEX('Project Financials'!$AC$5:$AC$64,MATCH($A18,'Project Financials'!$A$5:$A$64,0)),""))</f>
        <v/>
      </c>
      <c r="R18" s="20" t="str">
        <f aca="false">IF($A18="","",IFERROR(INDEX('Project Financials'!$V$5:$V$64,MATCH($A18,'Project Financials'!$A$5:$A$64,0)),""))</f>
        <v/>
      </c>
      <c r="S18" s="20" t="str">
        <f aca="false">IF($A18="","",IFERROR(_xlfn.MAXIFS('Iteration Tracker'!$D$5:$D$124,'Iteration Tracker'!$A$5:$A$124,$A18),""))</f>
        <v/>
      </c>
      <c r="T18" s="30"/>
      <c r="U18" s="30"/>
      <c r="V18" s="34"/>
      <c r="W18" s="34"/>
      <c r="X18" s="34"/>
    </row>
    <row r="19" customFormat="false" ht="39.75" hidden="false" customHeight="true" outlineLevel="0" collapsed="false">
      <c r="A19" s="30"/>
      <c r="B19" s="37" t="str">
        <f aca="false">IF($A19="","",IFERROR(INDEX('Fragrance Projects'!$C$5:$C$64,MATCH($A19,'Fragrance Projects'!$A$5:$A$64,0)),""))</f>
        <v/>
      </c>
      <c r="C19" s="37" t="str">
        <f aca="false">IF($A19="","",IFERROR(INDEX('Fragrance Projects'!$D$5:$D$64,MATCH($A19,'Fragrance Projects'!$A$5:$A$64,0)),""))</f>
        <v/>
      </c>
      <c r="D19" s="20" t="str">
        <f aca="false">IF($A19="","",IFERROR(INDEX('Iteration Tracker'!$E$5:$E$124,SUMPRODUCT(SMALL(IF((('Iteration Tracker'!$A$5:$A$124=$A19)*('Iteration Tracker'!$D$5:$D$124=_xlfn.MAXIFS('Iteration Tracker'!$D$5:$D$124,'Iteration Tracker'!$A$5:$A$124,$A19))),ROW('Iteration Tracker'!$D$5:$D$124)-ROW(INDEX('Iteration Tracker'!$D$5:$D$124,1))+1),1))),""))</f>
        <v/>
      </c>
      <c r="E19" s="31"/>
      <c r="F19" s="30"/>
      <c r="G19" s="30"/>
      <c r="H19" s="30"/>
      <c r="I19" s="30"/>
      <c r="J19" s="30"/>
      <c r="K19" s="20" t="str">
        <f aca="false">IF($A19="","",IF(IFERROR(INDEX(Payments!$N$5:$N$64,MATCH($A19,Payments!$B$5:$B$64,0)),"")="Paid","Yes","No"))</f>
        <v/>
      </c>
      <c r="L19" s="30"/>
      <c r="M19" s="30"/>
      <c r="N19" s="43" t="str">
        <f aca="false">IF($A19="","",IFERROR(INDEX('Project Financials'!$D$5:$D$64,MATCH($A19,'Project Financials'!$A$5:$A$64,0)),""))</f>
        <v/>
      </c>
      <c r="O19" s="43" t="str">
        <f aca="false">IF($A19="","",IFERROR(INDEX('Project Financials'!$U$5:$U$64,MATCH($A19,'Project Financials'!$A$5:$A$64,0)),""))</f>
        <v/>
      </c>
      <c r="P19" s="43" t="str">
        <f aca="false">IF($A19="","",IFERROR(INDEX('Project Financials'!$AA$5:$AA$64,MATCH($A19,'Project Financials'!$A$5:$A$64,0)),""))</f>
        <v/>
      </c>
      <c r="Q19" s="47" t="str">
        <f aca="false">IF($A19="","",IFERROR(INDEX('Project Financials'!$AC$5:$AC$64,MATCH($A19,'Project Financials'!$A$5:$A$64,0)),""))</f>
        <v/>
      </c>
      <c r="R19" s="20" t="str">
        <f aca="false">IF($A19="","",IFERROR(INDEX('Project Financials'!$V$5:$V$64,MATCH($A19,'Project Financials'!$A$5:$A$64,0)),""))</f>
        <v/>
      </c>
      <c r="S19" s="20" t="str">
        <f aca="false">IF($A19="","",IFERROR(_xlfn.MAXIFS('Iteration Tracker'!$D$5:$D$124,'Iteration Tracker'!$A$5:$A$124,$A19),""))</f>
        <v/>
      </c>
      <c r="T19" s="30"/>
      <c r="U19" s="30"/>
      <c r="V19" s="34"/>
      <c r="W19" s="34"/>
      <c r="X19" s="34"/>
    </row>
    <row r="20" customFormat="false" ht="39.75" hidden="false" customHeight="true" outlineLevel="0" collapsed="false">
      <c r="A20" s="30"/>
      <c r="B20" s="37" t="str">
        <f aca="false">IF($A20="","",IFERROR(INDEX('Fragrance Projects'!$C$5:$C$64,MATCH($A20,'Fragrance Projects'!$A$5:$A$64,0)),""))</f>
        <v/>
      </c>
      <c r="C20" s="37" t="str">
        <f aca="false">IF($A20="","",IFERROR(INDEX('Fragrance Projects'!$D$5:$D$64,MATCH($A20,'Fragrance Projects'!$A$5:$A$64,0)),""))</f>
        <v/>
      </c>
      <c r="D20" s="20" t="str">
        <f aca="false">IF($A20="","",IFERROR(INDEX('Iteration Tracker'!$E$5:$E$124,SUMPRODUCT(SMALL(IF((('Iteration Tracker'!$A$5:$A$124=$A20)*('Iteration Tracker'!$D$5:$D$124=_xlfn.MAXIFS('Iteration Tracker'!$D$5:$D$124,'Iteration Tracker'!$A$5:$A$124,$A20))),ROW('Iteration Tracker'!$D$5:$D$124)-ROW(INDEX('Iteration Tracker'!$D$5:$D$124,1))+1),1))),""))</f>
        <v/>
      </c>
      <c r="E20" s="31"/>
      <c r="F20" s="30"/>
      <c r="G20" s="30"/>
      <c r="H20" s="30"/>
      <c r="I20" s="30"/>
      <c r="J20" s="30"/>
      <c r="K20" s="20" t="str">
        <f aca="false">IF($A20="","",IF(IFERROR(INDEX(Payments!$N$5:$N$64,MATCH($A20,Payments!$B$5:$B$64,0)),"")="Paid","Yes","No"))</f>
        <v/>
      </c>
      <c r="L20" s="30"/>
      <c r="M20" s="30"/>
      <c r="N20" s="43" t="str">
        <f aca="false">IF($A20="","",IFERROR(INDEX('Project Financials'!$D$5:$D$64,MATCH($A20,'Project Financials'!$A$5:$A$64,0)),""))</f>
        <v/>
      </c>
      <c r="O20" s="43" t="str">
        <f aca="false">IF($A20="","",IFERROR(INDEX('Project Financials'!$U$5:$U$64,MATCH($A20,'Project Financials'!$A$5:$A$64,0)),""))</f>
        <v/>
      </c>
      <c r="P20" s="43" t="str">
        <f aca="false">IF($A20="","",IFERROR(INDEX('Project Financials'!$AA$5:$AA$64,MATCH($A20,'Project Financials'!$A$5:$A$64,0)),""))</f>
        <v/>
      </c>
      <c r="Q20" s="47" t="str">
        <f aca="false">IF($A20="","",IFERROR(INDEX('Project Financials'!$AC$5:$AC$64,MATCH($A20,'Project Financials'!$A$5:$A$64,0)),""))</f>
        <v/>
      </c>
      <c r="R20" s="20" t="str">
        <f aca="false">IF($A20="","",IFERROR(INDEX('Project Financials'!$V$5:$V$64,MATCH($A20,'Project Financials'!$A$5:$A$64,0)),""))</f>
        <v/>
      </c>
      <c r="S20" s="20" t="str">
        <f aca="false">IF($A20="","",IFERROR(_xlfn.MAXIFS('Iteration Tracker'!$D$5:$D$124,'Iteration Tracker'!$A$5:$A$124,$A20),""))</f>
        <v/>
      </c>
      <c r="T20" s="30"/>
      <c r="U20" s="30"/>
      <c r="V20" s="34"/>
      <c r="W20" s="34"/>
      <c r="X20" s="34"/>
    </row>
    <row r="21" customFormat="false" ht="39.75" hidden="false" customHeight="true" outlineLevel="0" collapsed="false">
      <c r="A21" s="30"/>
      <c r="B21" s="37" t="str">
        <f aca="false">IF($A21="","",IFERROR(INDEX('Fragrance Projects'!$C$5:$C$64,MATCH($A21,'Fragrance Projects'!$A$5:$A$64,0)),""))</f>
        <v/>
      </c>
      <c r="C21" s="37" t="str">
        <f aca="false">IF($A21="","",IFERROR(INDEX('Fragrance Projects'!$D$5:$D$64,MATCH($A21,'Fragrance Projects'!$A$5:$A$64,0)),""))</f>
        <v/>
      </c>
      <c r="D21" s="20" t="str">
        <f aca="false">IF($A21="","",IFERROR(INDEX('Iteration Tracker'!$E$5:$E$124,SUMPRODUCT(SMALL(IF((('Iteration Tracker'!$A$5:$A$124=$A21)*('Iteration Tracker'!$D$5:$D$124=_xlfn.MAXIFS('Iteration Tracker'!$D$5:$D$124,'Iteration Tracker'!$A$5:$A$124,$A21))),ROW('Iteration Tracker'!$D$5:$D$124)-ROW(INDEX('Iteration Tracker'!$D$5:$D$124,1))+1),1))),""))</f>
        <v/>
      </c>
      <c r="E21" s="31"/>
      <c r="F21" s="30"/>
      <c r="G21" s="30"/>
      <c r="H21" s="30"/>
      <c r="I21" s="30"/>
      <c r="J21" s="30"/>
      <c r="K21" s="20" t="str">
        <f aca="false">IF($A21="","",IF(IFERROR(INDEX(Payments!$N$5:$N$64,MATCH($A21,Payments!$B$5:$B$64,0)),"")="Paid","Yes","No"))</f>
        <v/>
      </c>
      <c r="L21" s="30"/>
      <c r="M21" s="30"/>
      <c r="N21" s="43" t="str">
        <f aca="false">IF($A21="","",IFERROR(INDEX('Project Financials'!$D$5:$D$64,MATCH($A21,'Project Financials'!$A$5:$A$64,0)),""))</f>
        <v/>
      </c>
      <c r="O21" s="43" t="str">
        <f aca="false">IF($A21="","",IFERROR(INDEX('Project Financials'!$U$5:$U$64,MATCH($A21,'Project Financials'!$A$5:$A$64,0)),""))</f>
        <v/>
      </c>
      <c r="P21" s="43" t="str">
        <f aca="false">IF($A21="","",IFERROR(INDEX('Project Financials'!$AA$5:$AA$64,MATCH($A21,'Project Financials'!$A$5:$A$64,0)),""))</f>
        <v/>
      </c>
      <c r="Q21" s="47" t="str">
        <f aca="false">IF($A21="","",IFERROR(INDEX('Project Financials'!$AC$5:$AC$64,MATCH($A21,'Project Financials'!$A$5:$A$64,0)),""))</f>
        <v/>
      </c>
      <c r="R21" s="20" t="str">
        <f aca="false">IF($A21="","",IFERROR(INDEX('Project Financials'!$V$5:$V$64,MATCH($A21,'Project Financials'!$A$5:$A$64,0)),""))</f>
        <v/>
      </c>
      <c r="S21" s="20" t="str">
        <f aca="false">IF($A21="","",IFERROR(_xlfn.MAXIFS('Iteration Tracker'!$D$5:$D$124,'Iteration Tracker'!$A$5:$A$124,$A21),""))</f>
        <v/>
      </c>
      <c r="T21" s="30"/>
      <c r="U21" s="30"/>
      <c r="V21" s="34"/>
      <c r="W21" s="34"/>
      <c r="X21" s="34"/>
    </row>
    <row r="22" customFormat="false" ht="39.75" hidden="false" customHeight="true" outlineLevel="0" collapsed="false">
      <c r="A22" s="30"/>
      <c r="B22" s="37" t="str">
        <f aca="false">IF($A22="","",IFERROR(INDEX('Fragrance Projects'!$C$5:$C$64,MATCH($A22,'Fragrance Projects'!$A$5:$A$64,0)),""))</f>
        <v/>
      </c>
      <c r="C22" s="37" t="str">
        <f aca="false">IF($A22="","",IFERROR(INDEX('Fragrance Projects'!$D$5:$D$64,MATCH($A22,'Fragrance Projects'!$A$5:$A$64,0)),""))</f>
        <v/>
      </c>
      <c r="D22" s="20" t="str">
        <f aca="false">IF($A22="","",IFERROR(INDEX('Iteration Tracker'!$E$5:$E$124,SUMPRODUCT(SMALL(IF((('Iteration Tracker'!$A$5:$A$124=$A22)*('Iteration Tracker'!$D$5:$D$124=_xlfn.MAXIFS('Iteration Tracker'!$D$5:$D$124,'Iteration Tracker'!$A$5:$A$124,$A22))),ROW('Iteration Tracker'!$D$5:$D$124)-ROW(INDEX('Iteration Tracker'!$D$5:$D$124,1))+1),1))),""))</f>
        <v/>
      </c>
      <c r="E22" s="31"/>
      <c r="F22" s="30"/>
      <c r="G22" s="30"/>
      <c r="H22" s="30"/>
      <c r="I22" s="30"/>
      <c r="J22" s="30"/>
      <c r="K22" s="20" t="str">
        <f aca="false">IF($A22="","",IF(IFERROR(INDEX(Payments!$N$5:$N$64,MATCH($A22,Payments!$B$5:$B$64,0)),"")="Paid","Yes","No"))</f>
        <v/>
      </c>
      <c r="L22" s="30"/>
      <c r="M22" s="30"/>
      <c r="N22" s="43" t="str">
        <f aca="false">IF($A22="","",IFERROR(INDEX('Project Financials'!$D$5:$D$64,MATCH($A22,'Project Financials'!$A$5:$A$64,0)),""))</f>
        <v/>
      </c>
      <c r="O22" s="43" t="str">
        <f aca="false">IF($A22="","",IFERROR(INDEX('Project Financials'!$U$5:$U$64,MATCH($A22,'Project Financials'!$A$5:$A$64,0)),""))</f>
        <v/>
      </c>
      <c r="P22" s="43" t="str">
        <f aca="false">IF($A22="","",IFERROR(INDEX('Project Financials'!$AA$5:$AA$64,MATCH($A22,'Project Financials'!$A$5:$A$64,0)),""))</f>
        <v/>
      </c>
      <c r="Q22" s="47" t="str">
        <f aca="false">IF($A22="","",IFERROR(INDEX('Project Financials'!$AC$5:$AC$64,MATCH($A22,'Project Financials'!$A$5:$A$64,0)),""))</f>
        <v/>
      </c>
      <c r="R22" s="20" t="str">
        <f aca="false">IF($A22="","",IFERROR(INDEX('Project Financials'!$V$5:$V$64,MATCH($A22,'Project Financials'!$A$5:$A$64,0)),""))</f>
        <v/>
      </c>
      <c r="S22" s="20" t="str">
        <f aca="false">IF($A22="","",IFERROR(_xlfn.MAXIFS('Iteration Tracker'!$D$5:$D$124,'Iteration Tracker'!$A$5:$A$124,$A22),""))</f>
        <v/>
      </c>
      <c r="T22" s="30"/>
      <c r="U22" s="30"/>
      <c r="V22" s="34"/>
      <c r="W22" s="34"/>
      <c r="X22" s="34"/>
    </row>
    <row r="23" customFormat="false" ht="39.75" hidden="false" customHeight="true" outlineLevel="0" collapsed="false">
      <c r="A23" s="30"/>
      <c r="B23" s="37" t="str">
        <f aca="false">IF($A23="","",IFERROR(INDEX('Fragrance Projects'!$C$5:$C$64,MATCH($A23,'Fragrance Projects'!$A$5:$A$64,0)),""))</f>
        <v/>
      </c>
      <c r="C23" s="37" t="str">
        <f aca="false">IF($A23="","",IFERROR(INDEX('Fragrance Projects'!$D$5:$D$64,MATCH($A23,'Fragrance Projects'!$A$5:$A$64,0)),""))</f>
        <v/>
      </c>
      <c r="D23" s="20" t="str">
        <f aca="false">IF($A23="","",IFERROR(INDEX('Iteration Tracker'!$E$5:$E$124,SUMPRODUCT(SMALL(IF((('Iteration Tracker'!$A$5:$A$124=$A23)*('Iteration Tracker'!$D$5:$D$124=_xlfn.MAXIFS('Iteration Tracker'!$D$5:$D$124,'Iteration Tracker'!$A$5:$A$124,$A23))),ROW('Iteration Tracker'!$D$5:$D$124)-ROW(INDEX('Iteration Tracker'!$D$5:$D$124,1))+1),1))),""))</f>
        <v/>
      </c>
      <c r="E23" s="31"/>
      <c r="F23" s="30"/>
      <c r="G23" s="30"/>
      <c r="H23" s="30"/>
      <c r="I23" s="30"/>
      <c r="J23" s="30"/>
      <c r="K23" s="20" t="str">
        <f aca="false">IF($A23="","",IF(IFERROR(INDEX(Payments!$N$5:$N$64,MATCH($A23,Payments!$B$5:$B$64,0)),"")="Paid","Yes","No"))</f>
        <v/>
      </c>
      <c r="L23" s="30"/>
      <c r="M23" s="30"/>
      <c r="N23" s="43" t="str">
        <f aca="false">IF($A23="","",IFERROR(INDEX('Project Financials'!$D$5:$D$64,MATCH($A23,'Project Financials'!$A$5:$A$64,0)),""))</f>
        <v/>
      </c>
      <c r="O23" s="43" t="str">
        <f aca="false">IF($A23="","",IFERROR(INDEX('Project Financials'!$U$5:$U$64,MATCH($A23,'Project Financials'!$A$5:$A$64,0)),""))</f>
        <v/>
      </c>
      <c r="P23" s="43" t="str">
        <f aca="false">IF($A23="","",IFERROR(INDEX('Project Financials'!$AA$5:$AA$64,MATCH($A23,'Project Financials'!$A$5:$A$64,0)),""))</f>
        <v/>
      </c>
      <c r="Q23" s="47" t="str">
        <f aca="false">IF($A23="","",IFERROR(INDEX('Project Financials'!$AC$5:$AC$64,MATCH($A23,'Project Financials'!$A$5:$A$64,0)),""))</f>
        <v/>
      </c>
      <c r="R23" s="20" t="str">
        <f aca="false">IF($A23="","",IFERROR(INDEX('Project Financials'!$V$5:$V$64,MATCH($A23,'Project Financials'!$A$5:$A$64,0)),""))</f>
        <v/>
      </c>
      <c r="S23" s="20" t="str">
        <f aca="false">IF($A23="","",IFERROR(_xlfn.MAXIFS('Iteration Tracker'!$D$5:$D$124,'Iteration Tracker'!$A$5:$A$124,$A23),""))</f>
        <v/>
      </c>
      <c r="T23" s="30"/>
      <c r="U23" s="30"/>
      <c r="V23" s="34"/>
      <c r="W23" s="34"/>
      <c r="X23" s="34"/>
    </row>
    <row r="24" customFormat="false" ht="39.75" hidden="false" customHeight="true" outlineLevel="0" collapsed="false">
      <c r="A24" s="30"/>
      <c r="B24" s="37" t="str">
        <f aca="false">IF($A24="","",IFERROR(INDEX('Fragrance Projects'!$C$5:$C$64,MATCH($A24,'Fragrance Projects'!$A$5:$A$64,0)),""))</f>
        <v/>
      </c>
      <c r="C24" s="37" t="str">
        <f aca="false">IF($A24="","",IFERROR(INDEX('Fragrance Projects'!$D$5:$D$64,MATCH($A24,'Fragrance Projects'!$A$5:$A$64,0)),""))</f>
        <v/>
      </c>
      <c r="D24" s="20" t="str">
        <f aca="false">IF($A24="","",IFERROR(INDEX('Iteration Tracker'!$E$5:$E$124,SUMPRODUCT(SMALL(IF((('Iteration Tracker'!$A$5:$A$124=$A24)*('Iteration Tracker'!$D$5:$D$124=_xlfn.MAXIFS('Iteration Tracker'!$D$5:$D$124,'Iteration Tracker'!$A$5:$A$124,$A24))),ROW('Iteration Tracker'!$D$5:$D$124)-ROW(INDEX('Iteration Tracker'!$D$5:$D$124,1))+1),1))),""))</f>
        <v/>
      </c>
      <c r="E24" s="31"/>
      <c r="F24" s="30"/>
      <c r="G24" s="30"/>
      <c r="H24" s="30"/>
      <c r="I24" s="30"/>
      <c r="J24" s="30"/>
      <c r="K24" s="20" t="str">
        <f aca="false">IF($A24="","",IF(IFERROR(INDEX(Payments!$N$5:$N$64,MATCH($A24,Payments!$B$5:$B$64,0)),"")="Paid","Yes","No"))</f>
        <v/>
      </c>
      <c r="L24" s="30"/>
      <c r="M24" s="30"/>
      <c r="N24" s="43" t="str">
        <f aca="false">IF($A24="","",IFERROR(INDEX('Project Financials'!$D$5:$D$64,MATCH($A24,'Project Financials'!$A$5:$A$64,0)),""))</f>
        <v/>
      </c>
      <c r="O24" s="43" t="str">
        <f aca="false">IF($A24="","",IFERROR(INDEX('Project Financials'!$U$5:$U$64,MATCH($A24,'Project Financials'!$A$5:$A$64,0)),""))</f>
        <v/>
      </c>
      <c r="P24" s="43" t="str">
        <f aca="false">IF($A24="","",IFERROR(INDEX('Project Financials'!$AA$5:$AA$64,MATCH($A24,'Project Financials'!$A$5:$A$64,0)),""))</f>
        <v/>
      </c>
      <c r="Q24" s="47" t="str">
        <f aca="false">IF($A24="","",IFERROR(INDEX('Project Financials'!$AC$5:$AC$64,MATCH($A24,'Project Financials'!$A$5:$A$64,0)),""))</f>
        <v/>
      </c>
      <c r="R24" s="20" t="str">
        <f aca="false">IF($A24="","",IFERROR(INDEX('Project Financials'!$V$5:$V$64,MATCH($A24,'Project Financials'!$A$5:$A$64,0)),""))</f>
        <v/>
      </c>
      <c r="S24" s="20" t="str">
        <f aca="false">IF($A24="","",IFERROR(_xlfn.MAXIFS('Iteration Tracker'!$D$5:$D$124,'Iteration Tracker'!$A$5:$A$124,$A24),""))</f>
        <v/>
      </c>
      <c r="T24" s="30"/>
      <c r="U24" s="30"/>
      <c r="V24" s="34"/>
      <c r="W24" s="34"/>
      <c r="X24" s="34"/>
    </row>
    <row r="25" customFormat="false" ht="39.75" hidden="false" customHeight="true" outlineLevel="0" collapsed="false">
      <c r="A25" s="30"/>
      <c r="B25" s="37" t="str">
        <f aca="false">IF($A25="","",IFERROR(INDEX('Fragrance Projects'!$C$5:$C$64,MATCH($A25,'Fragrance Projects'!$A$5:$A$64,0)),""))</f>
        <v/>
      </c>
      <c r="C25" s="37" t="str">
        <f aca="false">IF($A25="","",IFERROR(INDEX('Fragrance Projects'!$D$5:$D$64,MATCH($A25,'Fragrance Projects'!$A$5:$A$64,0)),""))</f>
        <v/>
      </c>
      <c r="D25" s="20" t="str">
        <f aca="false">IF($A25="","",IFERROR(INDEX('Iteration Tracker'!$E$5:$E$124,SUMPRODUCT(SMALL(IF((('Iteration Tracker'!$A$5:$A$124=$A25)*('Iteration Tracker'!$D$5:$D$124=_xlfn.MAXIFS('Iteration Tracker'!$D$5:$D$124,'Iteration Tracker'!$A$5:$A$124,$A25))),ROW('Iteration Tracker'!$D$5:$D$124)-ROW(INDEX('Iteration Tracker'!$D$5:$D$124,1))+1),1))),""))</f>
        <v/>
      </c>
      <c r="E25" s="31"/>
      <c r="F25" s="30"/>
      <c r="G25" s="30"/>
      <c r="H25" s="30"/>
      <c r="I25" s="30"/>
      <c r="J25" s="30"/>
      <c r="K25" s="20" t="str">
        <f aca="false">IF($A25="","",IF(IFERROR(INDEX(Payments!$N$5:$N$64,MATCH($A25,Payments!$B$5:$B$64,0)),"")="Paid","Yes","No"))</f>
        <v/>
      </c>
      <c r="L25" s="30"/>
      <c r="M25" s="30"/>
      <c r="N25" s="43" t="str">
        <f aca="false">IF($A25="","",IFERROR(INDEX('Project Financials'!$D$5:$D$64,MATCH($A25,'Project Financials'!$A$5:$A$64,0)),""))</f>
        <v/>
      </c>
      <c r="O25" s="43" t="str">
        <f aca="false">IF($A25="","",IFERROR(INDEX('Project Financials'!$U$5:$U$64,MATCH($A25,'Project Financials'!$A$5:$A$64,0)),""))</f>
        <v/>
      </c>
      <c r="P25" s="43" t="str">
        <f aca="false">IF($A25="","",IFERROR(INDEX('Project Financials'!$AA$5:$AA$64,MATCH($A25,'Project Financials'!$A$5:$A$64,0)),""))</f>
        <v/>
      </c>
      <c r="Q25" s="47" t="str">
        <f aca="false">IF($A25="","",IFERROR(INDEX('Project Financials'!$AC$5:$AC$64,MATCH($A25,'Project Financials'!$A$5:$A$64,0)),""))</f>
        <v/>
      </c>
      <c r="R25" s="20" t="str">
        <f aca="false">IF($A25="","",IFERROR(INDEX('Project Financials'!$V$5:$V$64,MATCH($A25,'Project Financials'!$A$5:$A$64,0)),""))</f>
        <v/>
      </c>
      <c r="S25" s="20" t="str">
        <f aca="false">IF($A25="","",IFERROR(_xlfn.MAXIFS('Iteration Tracker'!$D$5:$D$124,'Iteration Tracker'!$A$5:$A$124,$A25),""))</f>
        <v/>
      </c>
      <c r="T25" s="30"/>
      <c r="U25" s="30"/>
      <c r="V25" s="34"/>
      <c r="W25" s="34"/>
      <c r="X25" s="34"/>
    </row>
    <row r="26" customFormat="false" ht="39.75" hidden="false" customHeight="true" outlineLevel="0" collapsed="false">
      <c r="A26" s="30"/>
      <c r="B26" s="37" t="str">
        <f aca="false">IF($A26="","",IFERROR(INDEX('Fragrance Projects'!$C$5:$C$64,MATCH($A26,'Fragrance Projects'!$A$5:$A$64,0)),""))</f>
        <v/>
      </c>
      <c r="C26" s="37" t="str">
        <f aca="false">IF($A26="","",IFERROR(INDEX('Fragrance Projects'!$D$5:$D$64,MATCH($A26,'Fragrance Projects'!$A$5:$A$64,0)),""))</f>
        <v/>
      </c>
      <c r="D26" s="20" t="str">
        <f aca="false">IF($A26="","",IFERROR(INDEX('Iteration Tracker'!$E$5:$E$124,SUMPRODUCT(SMALL(IF((('Iteration Tracker'!$A$5:$A$124=$A26)*('Iteration Tracker'!$D$5:$D$124=_xlfn.MAXIFS('Iteration Tracker'!$D$5:$D$124,'Iteration Tracker'!$A$5:$A$124,$A26))),ROW('Iteration Tracker'!$D$5:$D$124)-ROW(INDEX('Iteration Tracker'!$D$5:$D$124,1))+1),1))),""))</f>
        <v/>
      </c>
      <c r="E26" s="31"/>
      <c r="F26" s="30"/>
      <c r="G26" s="30"/>
      <c r="H26" s="30"/>
      <c r="I26" s="30"/>
      <c r="J26" s="30"/>
      <c r="K26" s="20" t="str">
        <f aca="false">IF($A26="","",IF(IFERROR(INDEX(Payments!$N$5:$N$64,MATCH($A26,Payments!$B$5:$B$64,0)),"")="Paid","Yes","No"))</f>
        <v/>
      </c>
      <c r="L26" s="30"/>
      <c r="M26" s="30"/>
      <c r="N26" s="43" t="str">
        <f aca="false">IF($A26="","",IFERROR(INDEX('Project Financials'!$D$5:$D$64,MATCH($A26,'Project Financials'!$A$5:$A$64,0)),""))</f>
        <v/>
      </c>
      <c r="O26" s="43" t="str">
        <f aca="false">IF($A26="","",IFERROR(INDEX('Project Financials'!$U$5:$U$64,MATCH($A26,'Project Financials'!$A$5:$A$64,0)),""))</f>
        <v/>
      </c>
      <c r="P26" s="43" t="str">
        <f aca="false">IF($A26="","",IFERROR(INDEX('Project Financials'!$AA$5:$AA$64,MATCH($A26,'Project Financials'!$A$5:$A$64,0)),""))</f>
        <v/>
      </c>
      <c r="Q26" s="47" t="str">
        <f aca="false">IF($A26="","",IFERROR(INDEX('Project Financials'!$AC$5:$AC$64,MATCH($A26,'Project Financials'!$A$5:$A$64,0)),""))</f>
        <v/>
      </c>
      <c r="R26" s="20" t="str">
        <f aca="false">IF($A26="","",IFERROR(INDEX('Project Financials'!$V$5:$V$64,MATCH($A26,'Project Financials'!$A$5:$A$64,0)),""))</f>
        <v/>
      </c>
      <c r="S26" s="20" t="str">
        <f aca="false">IF($A26="","",IFERROR(_xlfn.MAXIFS('Iteration Tracker'!$D$5:$D$124,'Iteration Tracker'!$A$5:$A$124,$A26),""))</f>
        <v/>
      </c>
      <c r="T26" s="30"/>
      <c r="U26" s="30"/>
      <c r="V26" s="34"/>
      <c r="W26" s="34"/>
      <c r="X26" s="34"/>
    </row>
    <row r="27" customFormat="false" ht="39.75" hidden="false" customHeight="true" outlineLevel="0" collapsed="false">
      <c r="A27" s="30"/>
      <c r="B27" s="37" t="str">
        <f aca="false">IF($A27="","",IFERROR(INDEX('Fragrance Projects'!$C$5:$C$64,MATCH($A27,'Fragrance Projects'!$A$5:$A$64,0)),""))</f>
        <v/>
      </c>
      <c r="C27" s="37" t="str">
        <f aca="false">IF($A27="","",IFERROR(INDEX('Fragrance Projects'!$D$5:$D$64,MATCH($A27,'Fragrance Projects'!$A$5:$A$64,0)),""))</f>
        <v/>
      </c>
      <c r="D27" s="20" t="str">
        <f aca="false">IF($A27="","",IFERROR(INDEX('Iteration Tracker'!$E$5:$E$124,SUMPRODUCT(SMALL(IF((('Iteration Tracker'!$A$5:$A$124=$A27)*('Iteration Tracker'!$D$5:$D$124=_xlfn.MAXIFS('Iteration Tracker'!$D$5:$D$124,'Iteration Tracker'!$A$5:$A$124,$A27))),ROW('Iteration Tracker'!$D$5:$D$124)-ROW(INDEX('Iteration Tracker'!$D$5:$D$124,1))+1),1))),""))</f>
        <v/>
      </c>
      <c r="E27" s="31"/>
      <c r="F27" s="30"/>
      <c r="G27" s="30"/>
      <c r="H27" s="30"/>
      <c r="I27" s="30"/>
      <c r="J27" s="30"/>
      <c r="K27" s="20" t="str">
        <f aca="false">IF($A27="","",IF(IFERROR(INDEX(Payments!$N$5:$N$64,MATCH($A27,Payments!$B$5:$B$64,0)),"")="Paid","Yes","No"))</f>
        <v/>
      </c>
      <c r="L27" s="30"/>
      <c r="M27" s="30"/>
      <c r="N27" s="43" t="str">
        <f aca="false">IF($A27="","",IFERROR(INDEX('Project Financials'!$D$5:$D$64,MATCH($A27,'Project Financials'!$A$5:$A$64,0)),""))</f>
        <v/>
      </c>
      <c r="O27" s="43" t="str">
        <f aca="false">IF($A27="","",IFERROR(INDEX('Project Financials'!$U$5:$U$64,MATCH($A27,'Project Financials'!$A$5:$A$64,0)),""))</f>
        <v/>
      </c>
      <c r="P27" s="43" t="str">
        <f aca="false">IF($A27="","",IFERROR(INDEX('Project Financials'!$AA$5:$AA$64,MATCH($A27,'Project Financials'!$A$5:$A$64,0)),""))</f>
        <v/>
      </c>
      <c r="Q27" s="47" t="str">
        <f aca="false">IF($A27="","",IFERROR(INDEX('Project Financials'!$AC$5:$AC$64,MATCH($A27,'Project Financials'!$A$5:$A$64,0)),""))</f>
        <v/>
      </c>
      <c r="R27" s="20" t="str">
        <f aca="false">IF($A27="","",IFERROR(INDEX('Project Financials'!$V$5:$V$64,MATCH($A27,'Project Financials'!$A$5:$A$64,0)),""))</f>
        <v/>
      </c>
      <c r="S27" s="20" t="str">
        <f aca="false">IF($A27="","",IFERROR(_xlfn.MAXIFS('Iteration Tracker'!$D$5:$D$124,'Iteration Tracker'!$A$5:$A$124,$A27),""))</f>
        <v/>
      </c>
      <c r="T27" s="30"/>
      <c r="U27" s="30"/>
      <c r="V27" s="34"/>
      <c r="W27" s="34"/>
      <c r="X27" s="34"/>
    </row>
    <row r="28" customFormat="false" ht="39.75" hidden="false" customHeight="true" outlineLevel="0" collapsed="false">
      <c r="A28" s="30"/>
      <c r="B28" s="37" t="str">
        <f aca="false">IF($A28="","",IFERROR(INDEX('Fragrance Projects'!$C$5:$C$64,MATCH($A28,'Fragrance Projects'!$A$5:$A$64,0)),""))</f>
        <v/>
      </c>
      <c r="C28" s="37" t="str">
        <f aca="false">IF($A28="","",IFERROR(INDEX('Fragrance Projects'!$D$5:$D$64,MATCH($A28,'Fragrance Projects'!$A$5:$A$64,0)),""))</f>
        <v/>
      </c>
      <c r="D28" s="20" t="str">
        <f aca="false">IF($A28="","",IFERROR(INDEX('Iteration Tracker'!$E$5:$E$124,SUMPRODUCT(SMALL(IF((('Iteration Tracker'!$A$5:$A$124=$A28)*('Iteration Tracker'!$D$5:$D$124=_xlfn.MAXIFS('Iteration Tracker'!$D$5:$D$124,'Iteration Tracker'!$A$5:$A$124,$A28))),ROW('Iteration Tracker'!$D$5:$D$124)-ROW(INDEX('Iteration Tracker'!$D$5:$D$124,1))+1),1))),""))</f>
        <v/>
      </c>
      <c r="E28" s="31"/>
      <c r="F28" s="30"/>
      <c r="G28" s="30"/>
      <c r="H28" s="30"/>
      <c r="I28" s="30"/>
      <c r="J28" s="30"/>
      <c r="K28" s="20" t="str">
        <f aca="false">IF($A28="","",IF(IFERROR(INDEX(Payments!$N$5:$N$64,MATCH($A28,Payments!$B$5:$B$64,0)),"")="Paid","Yes","No"))</f>
        <v/>
      </c>
      <c r="L28" s="30"/>
      <c r="M28" s="30"/>
      <c r="N28" s="43" t="str">
        <f aca="false">IF($A28="","",IFERROR(INDEX('Project Financials'!$D$5:$D$64,MATCH($A28,'Project Financials'!$A$5:$A$64,0)),""))</f>
        <v/>
      </c>
      <c r="O28" s="43" t="str">
        <f aca="false">IF($A28="","",IFERROR(INDEX('Project Financials'!$U$5:$U$64,MATCH($A28,'Project Financials'!$A$5:$A$64,0)),""))</f>
        <v/>
      </c>
      <c r="P28" s="43" t="str">
        <f aca="false">IF($A28="","",IFERROR(INDEX('Project Financials'!$AA$5:$AA$64,MATCH($A28,'Project Financials'!$A$5:$A$64,0)),""))</f>
        <v/>
      </c>
      <c r="Q28" s="47" t="str">
        <f aca="false">IF($A28="","",IFERROR(INDEX('Project Financials'!$AC$5:$AC$64,MATCH($A28,'Project Financials'!$A$5:$A$64,0)),""))</f>
        <v/>
      </c>
      <c r="R28" s="20" t="str">
        <f aca="false">IF($A28="","",IFERROR(INDEX('Project Financials'!$V$5:$V$64,MATCH($A28,'Project Financials'!$A$5:$A$64,0)),""))</f>
        <v/>
      </c>
      <c r="S28" s="20" t="str">
        <f aca="false">IF($A28="","",IFERROR(_xlfn.MAXIFS('Iteration Tracker'!$D$5:$D$124,'Iteration Tracker'!$A$5:$A$124,$A28),""))</f>
        <v/>
      </c>
      <c r="T28" s="30"/>
      <c r="U28" s="30"/>
      <c r="V28" s="34"/>
      <c r="W28" s="34"/>
      <c r="X28" s="34"/>
    </row>
    <row r="29" customFormat="false" ht="39.75" hidden="false" customHeight="true" outlineLevel="0" collapsed="false">
      <c r="A29" s="30"/>
      <c r="B29" s="37" t="str">
        <f aca="false">IF($A29="","",IFERROR(INDEX('Fragrance Projects'!$C$5:$C$64,MATCH($A29,'Fragrance Projects'!$A$5:$A$64,0)),""))</f>
        <v/>
      </c>
      <c r="C29" s="37" t="str">
        <f aca="false">IF($A29="","",IFERROR(INDEX('Fragrance Projects'!$D$5:$D$64,MATCH($A29,'Fragrance Projects'!$A$5:$A$64,0)),""))</f>
        <v/>
      </c>
      <c r="D29" s="20" t="str">
        <f aca="false">IF($A29="","",IFERROR(INDEX('Iteration Tracker'!$E$5:$E$124,SUMPRODUCT(SMALL(IF((('Iteration Tracker'!$A$5:$A$124=$A29)*('Iteration Tracker'!$D$5:$D$124=_xlfn.MAXIFS('Iteration Tracker'!$D$5:$D$124,'Iteration Tracker'!$A$5:$A$124,$A29))),ROW('Iteration Tracker'!$D$5:$D$124)-ROW(INDEX('Iteration Tracker'!$D$5:$D$124,1))+1),1))),""))</f>
        <v/>
      </c>
      <c r="E29" s="31"/>
      <c r="F29" s="30"/>
      <c r="G29" s="30"/>
      <c r="H29" s="30"/>
      <c r="I29" s="30"/>
      <c r="J29" s="30"/>
      <c r="K29" s="20" t="str">
        <f aca="false">IF($A29="","",IF(IFERROR(INDEX(Payments!$N$5:$N$64,MATCH($A29,Payments!$B$5:$B$64,0)),"")="Paid","Yes","No"))</f>
        <v/>
      </c>
      <c r="L29" s="30"/>
      <c r="M29" s="30"/>
      <c r="N29" s="43" t="str">
        <f aca="false">IF($A29="","",IFERROR(INDEX('Project Financials'!$D$5:$D$64,MATCH($A29,'Project Financials'!$A$5:$A$64,0)),""))</f>
        <v/>
      </c>
      <c r="O29" s="43" t="str">
        <f aca="false">IF($A29="","",IFERROR(INDEX('Project Financials'!$U$5:$U$64,MATCH($A29,'Project Financials'!$A$5:$A$64,0)),""))</f>
        <v/>
      </c>
      <c r="P29" s="43" t="str">
        <f aca="false">IF($A29="","",IFERROR(INDEX('Project Financials'!$AA$5:$AA$64,MATCH($A29,'Project Financials'!$A$5:$A$64,0)),""))</f>
        <v/>
      </c>
      <c r="Q29" s="47" t="str">
        <f aca="false">IF($A29="","",IFERROR(INDEX('Project Financials'!$AC$5:$AC$64,MATCH($A29,'Project Financials'!$A$5:$A$64,0)),""))</f>
        <v/>
      </c>
      <c r="R29" s="20" t="str">
        <f aca="false">IF($A29="","",IFERROR(INDEX('Project Financials'!$V$5:$V$64,MATCH($A29,'Project Financials'!$A$5:$A$64,0)),""))</f>
        <v/>
      </c>
      <c r="S29" s="20" t="str">
        <f aca="false">IF($A29="","",IFERROR(_xlfn.MAXIFS('Iteration Tracker'!$D$5:$D$124,'Iteration Tracker'!$A$5:$A$124,$A29),""))</f>
        <v/>
      </c>
      <c r="T29" s="30"/>
      <c r="U29" s="30"/>
      <c r="V29" s="34"/>
      <c r="W29" s="34"/>
      <c r="X29" s="34"/>
    </row>
    <row r="30" customFormat="false" ht="39.75" hidden="false" customHeight="true" outlineLevel="0" collapsed="false">
      <c r="A30" s="30"/>
      <c r="B30" s="37" t="str">
        <f aca="false">IF($A30="","",IFERROR(INDEX('Fragrance Projects'!$C$5:$C$64,MATCH($A30,'Fragrance Projects'!$A$5:$A$64,0)),""))</f>
        <v/>
      </c>
      <c r="C30" s="37" t="str">
        <f aca="false">IF($A30="","",IFERROR(INDEX('Fragrance Projects'!$D$5:$D$64,MATCH($A30,'Fragrance Projects'!$A$5:$A$64,0)),""))</f>
        <v/>
      </c>
      <c r="D30" s="20" t="str">
        <f aca="false">IF($A30="","",IFERROR(INDEX('Iteration Tracker'!$E$5:$E$124,SUMPRODUCT(SMALL(IF((('Iteration Tracker'!$A$5:$A$124=$A30)*('Iteration Tracker'!$D$5:$D$124=_xlfn.MAXIFS('Iteration Tracker'!$D$5:$D$124,'Iteration Tracker'!$A$5:$A$124,$A30))),ROW('Iteration Tracker'!$D$5:$D$124)-ROW(INDEX('Iteration Tracker'!$D$5:$D$124,1))+1),1))),""))</f>
        <v/>
      </c>
      <c r="E30" s="31"/>
      <c r="F30" s="30"/>
      <c r="G30" s="30"/>
      <c r="H30" s="30"/>
      <c r="I30" s="30"/>
      <c r="J30" s="30"/>
      <c r="K30" s="20" t="str">
        <f aca="false">IF($A30="","",IF(IFERROR(INDEX(Payments!$N$5:$N$64,MATCH($A30,Payments!$B$5:$B$64,0)),"")="Paid","Yes","No"))</f>
        <v/>
      </c>
      <c r="L30" s="30"/>
      <c r="M30" s="30"/>
      <c r="N30" s="43" t="str">
        <f aca="false">IF($A30="","",IFERROR(INDEX('Project Financials'!$D$5:$D$64,MATCH($A30,'Project Financials'!$A$5:$A$64,0)),""))</f>
        <v/>
      </c>
      <c r="O30" s="43" t="str">
        <f aca="false">IF($A30="","",IFERROR(INDEX('Project Financials'!$U$5:$U$64,MATCH($A30,'Project Financials'!$A$5:$A$64,0)),""))</f>
        <v/>
      </c>
      <c r="P30" s="43" t="str">
        <f aca="false">IF($A30="","",IFERROR(INDEX('Project Financials'!$AA$5:$AA$64,MATCH($A30,'Project Financials'!$A$5:$A$64,0)),""))</f>
        <v/>
      </c>
      <c r="Q30" s="47" t="str">
        <f aca="false">IF($A30="","",IFERROR(INDEX('Project Financials'!$AC$5:$AC$64,MATCH($A30,'Project Financials'!$A$5:$A$64,0)),""))</f>
        <v/>
      </c>
      <c r="R30" s="20" t="str">
        <f aca="false">IF($A30="","",IFERROR(INDEX('Project Financials'!$V$5:$V$64,MATCH($A30,'Project Financials'!$A$5:$A$64,0)),""))</f>
        <v/>
      </c>
      <c r="S30" s="20" t="str">
        <f aca="false">IF($A30="","",IFERROR(_xlfn.MAXIFS('Iteration Tracker'!$D$5:$D$124,'Iteration Tracker'!$A$5:$A$124,$A30),""))</f>
        <v/>
      </c>
      <c r="T30" s="30"/>
      <c r="U30" s="30"/>
      <c r="V30" s="34"/>
      <c r="W30" s="34"/>
      <c r="X30" s="34"/>
    </row>
    <row r="31" customFormat="false" ht="39.75" hidden="false" customHeight="true" outlineLevel="0" collapsed="false">
      <c r="A31" s="30"/>
      <c r="B31" s="37" t="str">
        <f aca="false">IF($A31="","",IFERROR(INDEX('Fragrance Projects'!$C$5:$C$64,MATCH($A31,'Fragrance Projects'!$A$5:$A$64,0)),""))</f>
        <v/>
      </c>
      <c r="C31" s="37" t="str">
        <f aca="false">IF($A31="","",IFERROR(INDEX('Fragrance Projects'!$D$5:$D$64,MATCH($A31,'Fragrance Projects'!$A$5:$A$64,0)),""))</f>
        <v/>
      </c>
      <c r="D31" s="20" t="str">
        <f aca="false">IF($A31="","",IFERROR(INDEX('Iteration Tracker'!$E$5:$E$124,SUMPRODUCT(SMALL(IF((('Iteration Tracker'!$A$5:$A$124=$A31)*('Iteration Tracker'!$D$5:$D$124=_xlfn.MAXIFS('Iteration Tracker'!$D$5:$D$124,'Iteration Tracker'!$A$5:$A$124,$A31))),ROW('Iteration Tracker'!$D$5:$D$124)-ROW(INDEX('Iteration Tracker'!$D$5:$D$124,1))+1),1))),""))</f>
        <v/>
      </c>
      <c r="E31" s="31"/>
      <c r="F31" s="30"/>
      <c r="G31" s="30"/>
      <c r="H31" s="30"/>
      <c r="I31" s="30"/>
      <c r="J31" s="30"/>
      <c r="K31" s="20" t="str">
        <f aca="false">IF($A31="","",IF(IFERROR(INDEX(Payments!$N$5:$N$64,MATCH($A31,Payments!$B$5:$B$64,0)),"")="Paid","Yes","No"))</f>
        <v/>
      </c>
      <c r="L31" s="30"/>
      <c r="M31" s="30"/>
      <c r="N31" s="43" t="str">
        <f aca="false">IF($A31="","",IFERROR(INDEX('Project Financials'!$D$5:$D$64,MATCH($A31,'Project Financials'!$A$5:$A$64,0)),""))</f>
        <v/>
      </c>
      <c r="O31" s="43" t="str">
        <f aca="false">IF($A31="","",IFERROR(INDEX('Project Financials'!$U$5:$U$64,MATCH($A31,'Project Financials'!$A$5:$A$64,0)),""))</f>
        <v/>
      </c>
      <c r="P31" s="43" t="str">
        <f aca="false">IF($A31="","",IFERROR(INDEX('Project Financials'!$AA$5:$AA$64,MATCH($A31,'Project Financials'!$A$5:$A$64,0)),""))</f>
        <v/>
      </c>
      <c r="Q31" s="47" t="str">
        <f aca="false">IF($A31="","",IFERROR(INDEX('Project Financials'!$AC$5:$AC$64,MATCH($A31,'Project Financials'!$A$5:$A$64,0)),""))</f>
        <v/>
      </c>
      <c r="R31" s="20" t="str">
        <f aca="false">IF($A31="","",IFERROR(INDEX('Project Financials'!$V$5:$V$64,MATCH($A31,'Project Financials'!$A$5:$A$64,0)),""))</f>
        <v/>
      </c>
      <c r="S31" s="20" t="str">
        <f aca="false">IF($A31="","",IFERROR(_xlfn.MAXIFS('Iteration Tracker'!$D$5:$D$124,'Iteration Tracker'!$A$5:$A$124,$A31),""))</f>
        <v/>
      </c>
      <c r="T31" s="30"/>
      <c r="U31" s="30"/>
      <c r="V31" s="34"/>
      <c r="W31" s="34"/>
      <c r="X31" s="34"/>
    </row>
    <row r="32" customFormat="false" ht="39.75" hidden="false" customHeight="true" outlineLevel="0" collapsed="false">
      <c r="A32" s="30"/>
      <c r="B32" s="37" t="str">
        <f aca="false">IF($A32="","",IFERROR(INDEX('Fragrance Projects'!$C$5:$C$64,MATCH($A32,'Fragrance Projects'!$A$5:$A$64,0)),""))</f>
        <v/>
      </c>
      <c r="C32" s="37" t="str">
        <f aca="false">IF($A32="","",IFERROR(INDEX('Fragrance Projects'!$D$5:$D$64,MATCH($A32,'Fragrance Projects'!$A$5:$A$64,0)),""))</f>
        <v/>
      </c>
      <c r="D32" s="20" t="str">
        <f aca="false">IF($A32="","",IFERROR(INDEX('Iteration Tracker'!$E$5:$E$124,SUMPRODUCT(SMALL(IF((('Iteration Tracker'!$A$5:$A$124=$A32)*('Iteration Tracker'!$D$5:$D$124=_xlfn.MAXIFS('Iteration Tracker'!$D$5:$D$124,'Iteration Tracker'!$A$5:$A$124,$A32))),ROW('Iteration Tracker'!$D$5:$D$124)-ROW(INDEX('Iteration Tracker'!$D$5:$D$124,1))+1),1))),""))</f>
        <v/>
      </c>
      <c r="E32" s="31"/>
      <c r="F32" s="30"/>
      <c r="G32" s="30"/>
      <c r="H32" s="30"/>
      <c r="I32" s="30"/>
      <c r="J32" s="30"/>
      <c r="K32" s="20" t="str">
        <f aca="false">IF($A32="","",IF(IFERROR(INDEX(Payments!$N$5:$N$64,MATCH($A32,Payments!$B$5:$B$64,0)),"")="Paid","Yes","No"))</f>
        <v/>
      </c>
      <c r="L32" s="30"/>
      <c r="M32" s="30"/>
      <c r="N32" s="43" t="str">
        <f aca="false">IF($A32="","",IFERROR(INDEX('Project Financials'!$D$5:$D$64,MATCH($A32,'Project Financials'!$A$5:$A$64,0)),""))</f>
        <v/>
      </c>
      <c r="O32" s="43" t="str">
        <f aca="false">IF($A32="","",IFERROR(INDEX('Project Financials'!$U$5:$U$64,MATCH($A32,'Project Financials'!$A$5:$A$64,0)),""))</f>
        <v/>
      </c>
      <c r="P32" s="43" t="str">
        <f aca="false">IF($A32="","",IFERROR(INDEX('Project Financials'!$AA$5:$AA$64,MATCH($A32,'Project Financials'!$A$5:$A$64,0)),""))</f>
        <v/>
      </c>
      <c r="Q32" s="47" t="str">
        <f aca="false">IF($A32="","",IFERROR(INDEX('Project Financials'!$AC$5:$AC$64,MATCH($A32,'Project Financials'!$A$5:$A$64,0)),""))</f>
        <v/>
      </c>
      <c r="R32" s="20" t="str">
        <f aca="false">IF($A32="","",IFERROR(INDEX('Project Financials'!$V$5:$V$64,MATCH($A32,'Project Financials'!$A$5:$A$64,0)),""))</f>
        <v/>
      </c>
      <c r="S32" s="20" t="str">
        <f aca="false">IF($A32="","",IFERROR(_xlfn.MAXIFS('Iteration Tracker'!$D$5:$D$124,'Iteration Tracker'!$A$5:$A$124,$A32),""))</f>
        <v/>
      </c>
      <c r="T32" s="30"/>
      <c r="U32" s="30"/>
      <c r="V32" s="34"/>
      <c r="W32" s="34"/>
      <c r="X32" s="34"/>
    </row>
    <row r="33" customFormat="false" ht="39.75" hidden="false" customHeight="true" outlineLevel="0" collapsed="false">
      <c r="A33" s="30"/>
      <c r="B33" s="37" t="str">
        <f aca="false">IF($A33="","",IFERROR(INDEX('Fragrance Projects'!$C$5:$C$64,MATCH($A33,'Fragrance Projects'!$A$5:$A$64,0)),""))</f>
        <v/>
      </c>
      <c r="C33" s="37" t="str">
        <f aca="false">IF($A33="","",IFERROR(INDEX('Fragrance Projects'!$D$5:$D$64,MATCH($A33,'Fragrance Projects'!$A$5:$A$64,0)),""))</f>
        <v/>
      </c>
      <c r="D33" s="20" t="str">
        <f aca="false">IF($A33="","",IFERROR(INDEX('Iteration Tracker'!$E$5:$E$124,SUMPRODUCT(SMALL(IF((('Iteration Tracker'!$A$5:$A$124=$A33)*('Iteration Tracker'!$D$5:$D$124=_xlfn.MAXIFS('Iteration Tracker'!$D$5:$D$124,'Iteration Tracker'!$A$5:$A$124,$A33))),ROW('Iteration Tracker'!$D$5:$D$124)-ROW(INDEX('Iteration Tracker'!$D$5:$D$124,1))+1),1))),""))</f>
        <v/>
      </c>
      <c r="E33" s="31"/>
      <c r="F33" s="30"/>
      <c r="G33" s="30"/>
      <c r="H33" s="30"/>
      <c r="I33" s="30"/>
      <c r="J33" s="30"/>
      <c r="K33" s="20" t="str">
        <f aca="false">IF($A33="","",IF(IFERROR(INDEX(Payments!$N$5:$N$64,MATCH($A33,Payments!$B$5:$B$64,0)),"")="Paid","Yes","No"))</f>
        <v/>
      </c>
      <c r="L33" s="30"/>
      <c r="M33" s="30"/>
      <c r="N33" s="43" t="str">
        <f aca="false">IF($A33="","",IFERROR(INDEX('Project Financials'!$D$5:$D$64,MATCH($A33,'Project Financials'!$A$5:$A$64,0)),""))</f>
        <v/>
      </c>
      <c r="O33" s="43" t="str">
        <f aca="false">IF($A33="","",IFERROR(INDEX('Project Financials'!$U$5:$U$64,MATCH($A33,'Project Financials'!$A$5:$A$64,0)),""))</f>
        <v/>
      </c>
      <c r="P33" s="43" t="str">
        <f aca="false">IF($A33="","",IFERROR(INDEX('Project Financials'!$AA$5:$AA$64,MATCH($A33,'Project Financials'!$A$5:$A$64,0)),""))</f>
        <v/>
      </c>
      <c r="Q33" s="47" t="str">
        <f aca="false">IF($A33="","",IFERROR(INDEX('Project Financials'!$AC$5:$AC$64,MATCH($A33,'Project Financials'!$A$5:$A$64,0)),""))</f>
        <v/>
      </c>
      <c r="R33" s="20" t="str">
        <f aca="false">IF($A33="","",IFERROR(INDEX('Project Financials'!$V$5:$V$64,MATCH($A33,'Project Financials'!$A$5:$A$64,0)),""))</f>
        <v/>
      </c>
      <c r="S33" s="20" t="str">
        <f aca="false">IF($A33="","",IFERROR(_xlfn.MAXIFS('Iteration Tracker'!$D$5:$D$124,'Iteration Tracker'!$A$5:$A$124,$A33),""))</f>
        <v/>
      </c>
      <c r="T33" s="30"/>
      <c r="U33" s="30"/>
      <c r="V33" s="34"/>
      <c r="W33" s="34"/>
      <c r="X33" s="34"/>
    </row>
    <row r="34" customFormat="false" ht="39.75" hidden="false" customHeight="true" outlineLevel="0" collapsed="false">
      <c r="A34" s="30"/>
      <c r="B34" s="37" t="str">
        <f aca="false">IF($A34="","",IFERROR(INDEX('Fragrance Projects'!$C$5:$C$64,MATCH($A34,'Fragrance Projects'!$A$5:$A$64,0)),""))</f>
        <v/>
      </c>
      <c r="C34" s="37" t="str">
        <f aca="false">IF($A34="","",IFERROR(INDEX('Fragrance Projects'!$D$5:$D$64,MATCH($A34,'Fragrance Projects'!$A$5:$A$64,0)),""))</f>
        <v/>
      </c>
      <c r="D34" s="20" t="str">
        <f aca="false">IF($A34="","",IFERROR(INDEX('Iteration Tracker'!$E$5:$E$124,SUMPRODUCT(SMALL(IF((('Iteration Tracker'!$A$5:$A$124=$A34)*('Iteration Tracker'!$D$5:$D$124=_xlfn.MAXIFS('Iteration Tracker'!$D$5:$D$124,'Iteration Tracker'!$A$5:$A$124,$A34))),ROW('Iteration Tracker'!$D$5:$D$124)-ROW(INDEX('Iteration Tracker'!$D$5:$D$124,1))+1),1))),""))</f>
        <v/>
      </c>
      <c r="E34" s="31"/>
      <c r="F34" s="30"/>
      <c r="G34" s="30"/>
      <c r="H34" s="30"/>
      <c r="I34" s="30"/>
      <c r="J34" s="30"/>
      <c r="K34" s="20" t="str">
        <f aca="false">IF($A34="","",IF(IFERROR(INDEX(Payments!$N$5:$N$64,MATCH($A34,Payments!$B$5:$B$64,0)),"")="Paid","Yes","No"))</f>
        <v/>
      </c>
      <c r="L34" s="30"/>
      <c r="M34" s="30"/>
      <c r="N34" s="43" t="str">
        <f aca="false">IF($A34="","",IFERROR(INDEX('Project Financials'!$D$5:$D$64,MATCH($A34,'Project Financials'!$A$5:$A$64,0)),""))</f>
        <v/>
      </c>
      <c r="O34" s="43" t="str">
        <f aca="false">IF($A34="","",IFERROR(INDEX('Project Financials'!$U$5:$U$64,MATCH($A34,'Project Financials'!$A$5:$A$64,0)),""))</f>
        <v/>
      </c>
      <c r="P34" s="43" t="str">
        <f aca="false">IF($A34="","",IFERROR(INDEX('Project Financials'!$AA$5:$AA$64,MATCH($A34,'Project Financials'!$A$5:$A$64,0)),""))</f>
        <v/>
      </c>
      <c r="Q34" s="47" t="str">
        <f aca="false">IF($A34="","",IFERROR(INDEX('Project Financials'!$AC$5:$AC$64,MATCH($A34,'Project Financials'!$A$5:$A$64,0)),""))</f>
        <v/>
      </c>
      <c r="R34" s="20" t="str">
        <f aca="false">IF($A34="","",IFERROR(INDEX('Project Financials'!$V$5:$V$64,MATCH($A34,'Project Financials'!$A$5:$A$64,0)),""))</f>
        <v/>
      </c>
      <c r="S34" s="20" t="str">
        <f aca="false">IF($A34="","",IFERROR(_xlfn.MAXIFS('Iteration Tracker'!$D$5:$D$124,'Iteration Tracker'!$A$5:$A$124,$A34),""))</f>
        <v/>
      </c>
      <c r="T34" s="30"/>
      <c r="U34" s="30"/>
      <c r="V34" s="34"/>
      <c r="W34" s="34"/>
      <c r="X34" s="34"/>
    </row>
    <row r="35" customFormat="false" ht="39.75" hidden="false" customHeight="true" outlineLevel="0" collapsed="false">
      <c r="A35" s="30"/>
      <c r="B35" s="37" t="str">
        <f aca="false">IF($A35="","",IFERROR(INDEX('Fragrance Projects'!$C$5:$C$64,MATCH($A35,'Fragrance Projects'!$A$5:$A$64,0)),""))</f>
        <v/>
      </c>
      <c r="C35" s="37" t="str">
        <f aca="false">IF($A35="","",IFERROR(INDEX('Fragrance Projects'!$D$5:$D$64,MATCH($A35,'Fragrance Projects'!$A$5:$A$64,0)),""))</f>
        <v/>
      </c>
      <c r="D35" s="20" t="str">
        <f aca="false">IF($A35="","",IFERROR(INDEX('Iteration Tracker'!$E$5:$E$124,SUMPRODUCT(SMALL(IF((('Iteration Tracker'!$A$5:$A$124=$A35)*('Iteration Tracker'!$D$5:$D$124=_xlfn.MAXIFS('Iteration Tracker'!$D$5:$D$124,'Iteration Tracker'!$A$5:$A$124,$A35))),ROW('Iteration Tracker'!$D$5:$D$124)-ROW(INDEX('Iteration Tracker'!$D$5:$D$124,1))+1),1))),""))</f>
        <v/>
      </c>
      <c r="E35" s="31"/>
      <c r="F35" s="30"/>
      <c r="G35" s="30"/>
      <c r="H35" s="30"/>
      <c r="I35" s="30"/>
      <c r="J35" s="30"/>
      <c r="K35" s="20" t="str">
        <f aca="false">IF($A35="","",IF(IFERROR(INDEX(Payments!$N$5:$N$64,MATCH($A35,Payments!$B$5:$B$64,0)),"")="Paid","Yes","No"))</f>
        <v/>
      </c>
      <c r="L35" s="30"/>
      <c r="M35" s="30"/>
      <c r="N35" s="43" t="str">
        <f aca="false">IF($A35="","",IFERROR(INDEX('Project Financials'!$D$5:$D$64,MATCH($A35,'Project Financials'!$A$5:$A$64,0)),""))</f>
        <v/>
      </c>
      <c r="O35" s="43" t="str">
        <f aca="false">IF($A35="","",IFERROR(INDEX('Project Financials'!$U$5:$U$64,MATCH($A35,'Project Financials'!$A$5:$A$64,0)),""))</f>
        <v/>
      </c>
      <c r="P35" s="43" t="str">
        <f aca="false">IF($A35="","",IFERROR(INDEX('Project Financials'!$AA$5:$AA$64,MATCH($A35,'Project Financials'!$A$5:$A$64,0)),""))</f>
        <v/>
      </c>
      <c r="Q35" s="47" t="str">
        <f aca="false">IF($A35="","",IFERROR(INDEX('Project Financials'!$AC$5:$AC$64,MATCH($A35,'Project Financials'!$A$5:$A$64,0)),""))</f>
        <v/>
      </c>
      <c r="R35" s="20" t="str">
        <f aca="false">IF($A35="","",IFERROR(INDEX('Project Financials'!$V$5:$V$64,MATCH($A35,'Project Financials'!$A$5:$A$64,0)),""))</f>
        <v/>
      </c>
      <c r="S35" s="20" t="str">
        <f aca="false">IF($A35="","",IFERROR(_xlfn.MAXIFS('Iteration Tracker'!$D$5:$D$124,'Iteration Tracker'!$A$5:$A$124,$A35),""))</f>
        <v/>
      </c>
      <c r="T35" s="30"/>
      <c r="U35" s="30"/>
      <c r="V35" s="34"/>
      <c r="W35" s="34"/>
      <c r="X35" s="34"/>
    </row>
    <row r="36" customFormat="false" ht="39.75" hidden="false" customHeight="true" outlineLevel="0" collapsed="false">
      <c r="A36" s="30"/>
      <c r="B36" s="37" t="str">
        <f aca="false">IF($A36="","",IFERROR(INDEX('Fragrance Projects'!$C$5:$C$64,MATCH($A36,'Fragrance Projects'!$A$5:$A$64,0)),""))</f>
        <v/>
      </c>
      <c r="C36" s="37" t="str">
        <f aca="false">IF($A36="","",IFERROR(INDEX('Fragrance Projects'!$D$5:$D$64,MATCH($A36,'Fragrance Projects'!$A$5:$A$64,0)),""))</f>
        <v/>
      </c>
      <c r="D36" s="20" t="str">
        <f aca="false">IF($A36="","",IFERROR(INDEX('Iteration Tracker'!$E$5:$E$124,SUMPRODUCT(SMALL(IF((('Iteration Tracker'!$A$5:$A$124=$A36)*('Iteration Tracker'!$D$5:$D$124=_xlfn.MAXIFS('Iteration Tracker'!$D$5:$D$124,'Iteration Tracker'!$A$5:$A$124,$A36))),ROW('Iteration Tracker'!$D$5:$D$124)-ROW(INDEX('Iteration Tracker'!$D$5:$D$124,1))+1),1))),""))</f>
        <v/>
      </c>
      <c r="E36" s="31"/>
      <c r="F36" s="30"/>
      <c r="G36" s="30"/>
      <c r="H36" s="30"/>
      <c r="I36" s="30"/>
      <c r="J36" s="30"/>
      <c r="K36" s="20" t="str">
        <f aca="false">IF($A36="","",IF(IFERROR(INDEX(Payments!$N$5:$N$64,MATCH($A36,Payments!$B$5:$B$64,0)),"")="Paid","Yes","No"))</f>
        <v/>
      </c>
      <c r="L36" s="30"/>
      <c r="M36" s="30"/>
      <c r="N36" s="43" t="str">
        <f aca="false">IF($A36="","",IFERROR(INDEX('Project Financials'!$D$5:$D$64,MATCH($A36,'Project Financials'!$A$5:$A$64,0)),""))</f>
        <v/>
      </c>
      <c r="O36" s="43" t="str">
        <f aca="false">IF($A36="","",IFERROR(INDEX('Project Financials'!$U$5:$U$64,MATCH($A36,'Project Financials'!$A$5:$A$64,0)),""))</f>
        <v/>
      </c>
      <c r="P36" s="43" t="str">
        <f aca="false">IF($A36="","",IFERROR(INDEX('Project Financials'!$AA$5:$AA$64,MATCH($A36,'Project Financials'!$A$5:$A$64,0)),""))</f>
        <v/>
      </c>
      <c r="Q36" s="47" t="str">
        <f aca="false">IF($A36="","",IFERROR(INDEX('Project Financials'!$AC$5:$AC$64,MATCH($A36,'Project Financials'!$A$5:$A$64,0)),""))</f>
        <v/>
      </c>
      <c r="R36" s="20" t="str">
        <f aca="false">IF($A36="","",IFERROR(INDEX('Project Financials'!$V$5:$V$64,MATCH($A36,'Project Financials'!$A$5:$A$64,0)),""))</f>
        <v/>
      </c>
      <c r="S36" s="20" t="str">
        <f aca="false">IF($A36="","",IFERROR(_xlfn.MAXIFS('Iteration Tracker'!$D$5:$D$124,'Iteration Tracker'!$A$5:$A$124,$A36),""))</f>
        <v/>
      </c>
      <c r="T36" s="30"/>
      <c r="U36" s="30"/>
      <c r="V36" s="34"/>
      <c r="W36" s="34"/>
      <c r="X36" s="34"/>
    </row>
    <row r="37" customFormat="false" ht="39.75" hidden="false" customHeight="true" outlineLevel="0" collapsed="false">
      <c r="A37" s="30"/>
      <c r="B37" s="37" t="str">
        <f aca="false">IF($A37="","",IFERROR(INDEX('Fragrance Projects'!$C$5:$C$64,MATCH($A37,'Fragrance Projects'!$A$5:$A$64,0)),""))</f>
        <v/>
      </c>
      <c r="C37" s="37" t="str">
        <f aca="false">IF($A37="","",IFERROR(INDEX('Fragrance Projects'!$D$5:$D$64,MATCH($A37,'Fragrance Projects'!$A$5:$A$64,0)),""))</f>
        <v/>
      </c>
      <c r="D37" s="20" t="str">
        <f aca="false">IF($A37="","",IFERROR(INDEX('Iteration Tracker'!$E$5:$E$124,SUMPRODUCT(SMALL(IF((('Iteration Tracker'!$A$5:$A$124=$A37)*('Iteration Tracker'!$D$5:$D$124=_xlfn.MAXIFS('Iteration Tracker'!$D$5:$D$124,'Iteration Tracker'!$A$5:$A$124,$A37))),ROW('Iteration Tracker'!$D$5:$D$124)-ROW(INDEX('Iteration Tracker'!$D$5:$D$124,1))+1),1))),""))</f>
        <v/>
      </c>
      <c r="E37" s="31"/>
      <c r="F37" s="30"/>
      <c r="G37" s="30"/>
      <c r="H37" s="30"/>
      <c r="I37" s="30"/>
      <c r="J37" s="30"/>
      <c r="K37" s="20" t="str">
        <f aca="false">IF($A37="","",IF(IFERROR(INDEX(Payments!$N$5:$N$64,MATCH($A37,Payments!$B$5:$B$64,0)),"")="Paid","Yes","No"))</f>
        <v/>
      </c>
      <c r="L37" s="30"/>
      <c r="M37" s="30"/>
      <c r="N37" s="43" t="str">
        <f aca="false">IF($A37="","",IFERROR(INDEX('Project Financials'!$D$5:$D$64,MATCH($A37,'Project Financials'!$A$5:$A$64,0)),""))</f>
        <v/>
      </c>
      <c r="O37" s="43" t="str">
        <f aca="false">IF($A37="","",IFERROR(INDEX('Project Financials'!$U$5:$U$64,MATCH($A37,'Project Financials'!$A$5:$A$64,0)),""))</f>
        <v/>
      </c>
      <c r="P37" s="43" t="str">
        <f aca="false">IF($A37="","",IFERROR(INDEX('Project Financials'!$AA$5:$AA$64,MATCH($A37,'Project Financials'!$A$5:$A$64,0)),""))</f>
        <v/>
      </c>
      <c r="Q37" s="47" t="str">
        <f aca="false">IF($A37="","",IFERROR(INDEX('Project Financials'!$AC$5:$AC$64,MATCH($A37,'Project Financials'!$A$5:$A$64,0)),""))</f>
        <v/>
      </c>
      <c r="R37" s="20" t="str">
        <f aca="false">IF($A37="","",IFERROR(INDEX('Project Financials'!$V$5:$V$64,MATCH($A37,'Project Financials'!$A$5:$A$64,0)),""))</f>
        <v/>
      </c>
      <c r="S37" s="20" t="str">
        <f aca="false">IF($A37="","",IFERROR(_xlfn.MAXIFS('Iteration Tracker'!$D$5:$D$124,'Iteration Tracker'!$A$5:$A$124,$A37),""))</f>
        <v/>
      </c>
      <c r="T37" s="30"/>
      <c r="U37" s="30"/>
      <c r="V37" s="34"/>
      <c r="W37" s="34"/>
      <c r="X37" s="34"/>
    </row>
    <row r="38" customFormat="false" ht="39.75" hidden="false" customHeight="true" outlineLevel="0" collapsed="false">
      <c r="A38" s="30"/>
      <c r="B38" s="37" t="str">
        <f aca="false">IF($A38="","",IFERROR(INDEX('Fragrance Projects'!$C$5:$C$64,MATCH($A38,'Fragrance Projects'!$A$5:$A$64,0)),""))</f>
        <v/>
      </c>
      <c r="C38" s="37" t="str">
        <f aca="false">IF($A38="","",IFERROR(INDEX('Fragrance Projects'!$D$5:$D$64,MATCH($A38,'Fragrance Projects'!$A$5:$A$64,0)),""))</f>
        <v/>
      </c>
      <c r="D38" s="20" t="str">
        <f aca="false">IF($A38="","",IFERROR(INDEX('Iteration Tracker'!$E$5:$E$124,SUMPRODUCT(SMALL(IF((('Iteration Tracker'!$A$5:$A$124=$A38)*('Iteration Tracker'!$D$5:$D$124=_xlfn.MAXIFS('Iteration Tracker'!$D$5:$D$124,'Iteration Tracker'!$A$5:$A$124,$A38))),ROW('Iteration Tracker'!$D$5:$D$124)-ROW(INDEX('Iteration Tracker'!$D$5:$D$124,1))+1),1))),""))</f>
        <v/>
      </c>
      <c r="E38" s="31"/>
      <c r="F38" s="30"/>
      <c r="G38" s="30"/>
      <c r="H38" s="30"/>
      <c r="I38" s="30"/>
      <c r="J38" s="30"/>
      <c r="K38" s="20" t="str">
        <f aca="false">IF($A38="","",IF(IFERROR(INDEX(Payments!$N$5:$N$64,MATCH($A38,Payments!$B$5:$B$64,0)),"")="Paid","Yes","No"))</f>
        <v/>
      </c>
      <c r="L38" s="30"/>
      <c r="M38" s="30"/>
      <c r="N38" s="43" t="str">
        <f aca="false">IF($A38="","",IFERROR(INDEX('Project Financials'!$D$5:$D$64,MATCH($A38,'Project Financials'!$A$5:$A$64,0)),""))</f>
        <v/>
      </c>
      <c r="O38" s="43" t="str">
        <f aca="false">IF($A38="","",IFERROR(INDEX('Project Financials'!$U$5:$U$64,MATCH($A38,'Project Financials'!$A$5:$A$64,0)),""))</f>
        <v/>
      </c>
      <c r="P38" s="43" t="str">
        <f aca="false">IF($A38="","",IFERROR(INDEX('Project Financials'!$AA$5:$AA$64,MATCH($A38,'Project Financials'!$A$5:$A$64,0)),""))</f>
        <v/>
      </c>
      <c r="Q38" s="47" t="str">
        <f aca="false">IF($A38="","",IFERROR(INDEX('Project Financials'!$AC$5:$AC$64,MATCH($A38,'Project Financials'!$A$5:$A$64,0)),""))</f>
        <v/>
      </c>
      <c r="R38" s="20" t="str">
        <f aca="false">IF($A38="","",IFERROR(INDEX('Project Financials'!$V$5:$V$64,MATCH($A38,'Project Financials'!$A$5:$A$64,0)),""))</f>
        <v/>
      </c>
      <c r="S38" s="20" t="str">
        <f aca="false">IF($A38="","",IFERROR(_xlfn.MAXIFS('Iteration Tracker'!$D$5:$D$124,'Iteration Tracker'!$A$5:$A$124,$A38),""))</f>
        <v/>
      </c>
      <c r="T38" s="30"/>
      <c r="U38" s="30"/>
      <c r="V38" s="34"/>
      <c r="W38" s="34"/>
      <c r="X38" s="34"/>
    </row>
    <row r="39" customFormat="false" ht="39.75" hidden="false" customHeight="true" outlineLevel="0" collapsed="false">
      <c r="A39" s="30"/>
      <c r="B39" s="37" t="str">
        <f aca="false">IF($A39="","",IFERROR(INDEX('Fragrance Projects'!$C$5:$C$64,MATCH($A39,'Fragrance Projects'!$A$5:$A$64,0)),""))</f>
        <v/>
      </c>
      <c r="C39" s="37" t="str">
        <f aca="false">IF($A39="","",IFERROR(INDEX('Fragrance Projects'!$D$5:$D$64,MATCH($A39,'Fragrance Projects'!$A$5:$A$64,0)),""))</f>
        <v/>
      </c>
      <c r="D39" s="20" t="str">
        <f aca="false">IF($A39="","",IFERROR(INDEX('Iteration Tracker'!$E$5:$E$124,SUMPRODUCT(SMALL(IF((('Iteration Tracker'!$A$5:$A$124=$A39)*('Iteration Tracker'!$D$5:$D$124=_xlfn.MAXIFS('Iteration Tracker'!$D$5:$D$124,'Iteration Tracker'!$A$5:$A$124,$A39))),ROW('Iteration Tracker'!$D$5:$D$124)-ROW(INDEX('Iteration Tracker'!$D$5:$D$124,1))+1),1))),""))</f>
        <v/>
      </c>
      <c r="E39" s="31"/>
      <c r="F39" s="30"/>
      <c r="G39" s="30"/>
      <c r="H39" s="30"/>
      <c r="I39" s="30"/>
      <c r="J39" s="30"/>
      <c r="K39" s="20" t="str">
        <f aca="false">IF($A39="","",IF(IFERROR(INDEX(Payments!$N$5:$N$64,MATCH($A39,Payments!$B$5:$B$64,0)),"")="Paid","Yes","No"))</f>
        <v/>
      </c>
      <c r="L39" s="30"/>
      <c r="M39" s="30"/>
      <c r="N39" s="43" t="str">
        <f aca="false">IF($A39="","",IFERROR(INDEX('Project Financials'!$D$5:$D$64,MATCH($A39,'Project Financials'!$A$5:$A$64,0)),""))</f>
        <v/>
      </c>
      <c r="O39" s="43" t="str">
        <f aca="false">IF($A39="","",IFERROR(INDEX('Project Financials'!$U$5:$U$64,MATCH($A39,'Project Financials'!$A$5:$A$64,0)),""))</f>
        <v/>
      </c>
      <c r="P39" s="43" t="str">
        <f aca="false">IF($A39="","",IFERROR(INDEX('Project Financials'!$AA$5:$AA$64,MATCH($A39,'Project Financials'!$A$5:$A$64,0)),""))</f>
        <v/>
      </c>
      <c r="Q39" s="47" t="str">
        <f aca="false">IF($A39="","",IFERROR(INDEX('Project Financials'!$AC$5:$AC$64,MATCH($A39,'Project Financials'!$A$5:$A$64,0)),""))</f>
        <v/>
      </c>
      <c r="R39" s="20" t="str">
        <f aca="false">IF($A39="","",IFERROR(INDEX('Project Financials'!$V$5:$V$64,MATCH($A39,'Project Financials'!$A$5:$A$64,0)),""))</f>
        <v/>
      </c>
      <c r="S39" s="20" t="str">
        <f aca="false">IF($A39="","",IFERROR(_xlfn.MAXIFS('Iteration Tracker'!$D$5:$D$124,'Iteration Tracker'!$A$5:$A$124,$A39),""))</f>
        <v/>
      </c>
      <c r="T39" s="30"/>
      <c r="U39" s="30"/>
      <c r="V39" s="34"/>
      <c r="W39" s="34"/>
      <c r="X39" s="34"/>
    </row>
    <row r="40" customFormat="false" ht="39.75" hidden="false" customHeight="true" outlineLevel="0" collapsed="false">
      <c r="A40" s="30"/>
      <c r="B40" s="37" t="str">
        <f aca="false">IF($A40="","",IFERROR(INDEX('Fragrance Projects'!$C$5:$C$64,MATCH($A40,'Fragrance Projects'!$A$5:$A$64,0)),""))</f>
        <v/>
      </c>
      <c r="C40" s="37" t="str">
        <f aca="false">IF($A40="","",IFERROR(INDEX('Fragrance Projects'!$D$5:$D$64,MATCH($A40,'Fragrance Projects'!$A$5:$A$64,0)),""))</f>
        <v/>
      </c>
      <c r="D40" s="20" t="str">
        <f aca="false">IF($A40="","",IFERROR(INDEX('Iteration Tracker'!$E$5:$E$124,SUMPRODUCT(SMALL(IF((('Iteration Tracker'!$A$5:$A$124=$A40)*('Iteration Tracker'!$D$5:$D$124=_xlfn.MAXIFS('Iteration Tracker'!$D$5:$D$124,'Iteration Tracker'!$A$5:$A$124,$A40))),ROW('Iteration Tracker'!$D$5:$D$124)-ROW(INDEX('Iteration Tracker'!$D$5:$D$124,1))+1),1))),""))</f>
        <v/>
      </c>
      <c r="E40" s="31"/>
      <c r="F40" s="30"/>
      <c r="G40" s="30"/>
      <c r="H40" s="30"/>
      <c r="I40" s="30"/>
      <c r="J40" s="30"/>
      <c r="K40" s="20" t="str">
        <f aca="false">IF($A40="","",IF(IFERROR(INDEX(Payments!$N$5:$N$64,MATCH($A40,Payments!$B$5:$B$64,0)),"")="Paid","Yes","No"))</f>
        <v/>
      </c>
      <c r="L40" s="30"/>
      <c r="M40" s="30"/>
      <c r="N40" s="43" t="str">
        <f aca="false">IF($A40="","",IFERROR(INDEX('Project Financials'!$D$5:$D$64,MATCH($A40,'Project Financials'!$A$5:$A$64,0)),""))</f>
        <v/>
      </c>
      <c r="O40" s="43" t="str">
        <f aca="false">IF($A40="","",IFERROR(INDEX('Project Financials'!$U$5:$U$64,MATCH($A40,'Project Financials'!$A$5:$A$64,0)),""))</f>
        <v/>
      </c>
      <c r="P40" s="43" t="str">
        <f aca="false">IF($A40="","",IFERROR(INDEX('Project Financials'!$AA$5:$AA$64,MATCH($A40,'Project Financials'!$A$5:$A$64,0)),""))</f>
        <v/>
      </c>
      <c r="Q40" s="47" t="str">
        <f aca="false">IF($A40="","",IFERROR(INDEX('Project Financials'!$AC$5:$AC$64,MATCH($A40,'Project Financials'!$A$5:$A$64,0)),""))</f>
        <v/>
      </c>
      <c r="R40" s="20" t="str">
        <f aca="false">IF($A40="","",IFERROR(INDEX('Project Financials'!$V$5:$V$64,MATCH($A40,'Project Financials'!$A$5:$A$64,0)),""))</f>
        <v/>
      </c>
      <c r="S40" s="20" t="str">
        <f aca="false">IF($A40="","",IFERROR(_xlfn.MAXIFS('Iteration Tracker'!$D$5:$D$124,'Iteration Tracker'!$A$5:$A$124,$A40),""))</f>
        <v/>
      </c>
      <c r="T40" s="30"/>
      <c r="U40" s="30"/>
      <c r="V40" s="34"/>
      <c r="W40" s="34"/>
      <c r="X40" s="34"/>
    </row>
    <row r="41" customFormat="false" ht="39.75" hidden="false" customHeight="true" outlineLevel="0" collapsed="false">
      <c r="A41" s="30"/>
      <c r="B41" s="37" t="str">
        <f aca="false">IF($A41="","",IFERROR(INDEX('Fragrance Projects'!$C$5:$C$64,MATCH($A41,'Fragrance Projects'!$A$5:$A$64,0)),""))</f>
        <v/>
      </c>
      <c r="C41" s="37" t="str">
        <f aca="false">IF($A41="","",IFERROR(INDEX('Fragrance Projects'!$D$5:$D$64,MATCH($A41,'Fragrance Projects'!$A$5:$A$64,0)),""))</f>
        <v/>
      </c>
      <c r="D41" s="20" t="str">
        <f aca="false">IF($A41="","",IFERROR(INDEX('Iteration Tracker'!$E$5:$E$124,SUMPRODUCT(SMALL(IF((('Iteration Tracker'!$A$5:$A$124=$A41)*('Iteration Tracker'!$D$5:$D$124=_xlfn.MAXIFS('Iteration Tracker'!$D$5:$D$124,'Iteration Tracker'!$A$5:$A$124,$A41))),ROW('Iteration Tracker'!$D$5:$D$124)-ROW(INDEX('Iteration Tracker'!$D$5:$D$124,1))+1),1))),""))</f>
        <v/>
      </c>
      <c r="E41" s="31"/>
      <c r="F41" s="30"/>
      <c r="G41" s="30"/>
      <c r="H41" s="30"/>
      <c r="I41" s="30"/>
      <c r="J41" s="30"/>
      <c r="K41" s="20" t="str">
        <f aca="false">IF($A41="","",IF(IFERROR(INDEX(Payments!$N$5:$N$64,MATCH($A41,Payments!$B$5:$B$64,0)),"")="Paid","Yes","No"))</f>
        <v/>
      </c>
      <c r="L41" s="30"/>
      <c r="M41" s="30"/>
      <c r="N41" s="43" t="str">
        <f aca="false">IF($A41="","",IFERROR(INDEX('Project Financials'!$D$5:$D$64,MATCH($A41,'Project Financials'!$A$5:$A$64,0)),""))</f>
        <v/>
      </c>
      <c r="O41" s="43" t="str">
        <f aca="false">IF($A41="","",IFERROR(INDEX('Project Financials'!$U$5:$U$64,MATCH($A41,'Project Financials'!$A$5:$A$64,0)),""))</f>
        <v/>
      </c>
      <c r="P41" s="43" t="str">
        <f aca="false">IF($A41="","",IFERROR(INDEX('Project Financials'!$AA$5:$AA$64,MATCH($A41,'Project Financials'!$A$5:$A$64,0)),""))</f>
        <v/>
      </c>
      <c r="Q41" s="47" t="str">
        <f aca="false">IF($A41="","",IFERROR(INDEX('Project Financials'!$AC$5:$AC$64,MATCH($A41,'Project Financials'!$A$5:$A$64,0)),""))</f>
        <v/>
      </c>
      <c r="R41" s="20" t="str">
        <f aca="false">IF($A41="","",IFERROR(INDEX('Project Financials'!$V$5:$V$64,MATCH($A41,'Project Financials'!$A$5:$A$64,0)),""))</f>
        <v/>
      </c>
      <c r="S41" s="20" t="str">
        <f aca="false">IF($A41="","",IFERROR(_xlfn.MAXIFS('Iteration Tracker'!$D$5:$D$124,'Iteration Tracker'!$A$5:$A$124,$A41),""))</f>
        <v/>
      </c>
      <c r="T41" s="30"/>
      <c r="U41" s="30"/>
      <c r="V41" s="34"/>
      <c r="W41" s="34"/>
      <c r="X41" s="34"/>
    </row>
    <row r="42" customFormat="false" ht="39.75" hidden="false" customHeight="true" outlineLevel="0" collapsed="false">
      <c r="A42" s="30"/>
      <c r="B42" s="37" t="str">
        <f aca="false">IF($A42="","",IFERROR(INDEX('Fragrance Projects'!$C$5:$C$64,MATCH($A42,'Fragrance Projects'!$A$5:$A$64,0)),""))</f>
        <v/>
      </c>
      <c r="C42" s="37" t="str">
        <f aca="false">IF($A42="","",IFERROR(INDEX('Fragrance Projects'!$D$5:$D$64,MATCH($A42,'Fragrance Projects'!$A$5:$A$64,0)),""))</f>
        <v/>
      </c>
      <c r="D42" s="20" t="str">
        <f aca="false">IF($A42="","",IFERROR(INDEX('Iteration Tracker'!$E$5:$E$124,SUMPRODUCT(SMALL(IF((('Iteration Tracker'!$A$5:$A$124=$A42)*('Iteration Tracker'!$D$5:$D$124=_xlfn.MAXIFS('Iteration Tracker'!$D$5:$D$124,'Iteration Tracker'!$A$5:$A$124,$A42))),ROW('Iteration Tracker'!$D$5:$D$124)-ROW(INDEX('Iteration Tracker'!$D$5:$D$124,1))+1),1))),""))</f>
        <v/>
      </c>
      <c r="E42" s="31"/>
      <c r="F42" s="30"/>
      <c r="G42" s="30"/>
      <c r="H42" s="30"/>
      <c r="I42" s="30"/>
      <c r="J42" s="30"/>
      <c r="K42" s="20" t="str">
        <f aca="false">IF($A42="","",IF(IFERROR(INDEX(Payments!$N$5:$N$64,MATCH($A42,Payments!$B$5:$B$64,0)),"")="Paid","Yes","No"))</f>
        <v/>
      </c>
      <c r="L42" s="30"/>
      <c r="M42" s="30"/>
      <c r="N42" s="43" t="str">
        <f aca="false">IF($A42="","",IFERROR(INDEX('Project Financials'!$D$5:$D$64,MATCH($A42,'Project Financials'!$A$5:$A$64,0)),""))</f>
        <v/>
      </c>
      <c r="O42" s="43" t="str">
        <f aca="false">IF($A42="","",IFERROR(INDEX('Project Financials'!$U$5:$U$64,MATCH($A42,'Project Financials'!$A$5:$A$64,0)),""))</f>
        <v/>
      </c>
      <c r="P42" s="43" t="str">
        <f aca="false">IF($A42="","",IFERROR(INDEX('Project Financials'!$AA$5:$AA$64,MATCH($A42,'Project Financials'!$A$5:$A$64,0)),""))</f>
        <v/>
      </c>
      <c r="Q42" s="47" t="str">
        <f aca="false">IF($A42="","",IFERROR(INDEX('Project Financials'!$AC$5:$AC$64,MATCH($A42,'Project Financials'!$A$5:$A$64,0)),""))</f>
        <v/>
      </c>
      <c r="R42" s="20" t="str">
        <f aca="false">IF($A42="","",IFERROR(INDEX('Project Financials'!$V$5:$V$64,MATCH($A42,'Project Financials'!$A$5:$A$64,0)),""))</f>
        <v/>
      </c>
      <c r="S42" s="20" t="str">
        <f aca="false">IF($A42="","",IFERROR(_xlfn.MAXIFS('Iteration Tracker'!$D$5:$D$124,'Iteration Tracker'!$A$5:$A$124,$A42),""))</f>
        <v/>
      </c>
      <c r="T42" s="30"/>
      <c r="U42" s="30"/>
      <c r="V42" s="34"/>
      <c r="W42" s="34"/>
      <c r="X42" s="34"/>
    </row>
    <row r="43" customFormat="false" ht="39.75" hidden="false" customHeight="true" outlineLevel="0" collapsed="false">
      <c r="A43" s="30"/>
      <c r="B43" s="37" t="str">
        <f aca="false">IF($A43="","",IFERROR(INDEX('Fragrance Projects'!$C$5:$C$64,MATCH($A43,'Fragrance Projects'!$A$5:$A$64,0)),""))</f>
        <v/>
      </c>
      <c r="C43" s="37" t="str">
        <f aca="false">IF($A43="","",IFERROR(INDEX('Fragrance Projects'!$D$5:$D$64,MATCH($A43,'Fragrance Projects'!$A$5:$A$64,0)),""))</f>
        <v/>
      </c>
      <c r="D43" s="20" t="str">
        <f aca="false">IF($A43="","",IFERROR(INDEX('Iteration Tracker'!$E$5:$E$124,SUMPRODUCT(SMALL(IF((('Iteration Tracker'!$A$5:$A$124=$A43)*('Iteration Tracker'!$D$5:$D$124=_xlfn.MAXIFS('Iteration Tracker'!$D$5:$D$124,'Iteration Tracker'!$A$5:$A$124,$A43))),ROW('Iteration Tracker'!$D$5:$D$124)-ROW(INDEX('Iteration Tracker'!$D$5:$D$124,1))+1),1))),""))</f>
        <v/>
      </c>
      <c r="E43" s="31"/>
      <c r="F43" s="30"/>
      <c r="G43" s="30"/>
      <c r="H43" s="30"/>
      <c r="I43" s="30"/>
      <c r="J43" s="30"/>
      <c r="K43" s="20" t="str">
        <f aca="false">IF($A43="","",IF(IFERROR(INDEX(Payments!$N$5:$N$64,MATCH($A43,Payments!$B$5:$B$64,0)),"")="Paid","Yes","No"))</f>
        <v/>
      </c>
      <c r="L43" s="30"/>
      <c r="M43" s="30"/>
      <c r="N43" s="43" t="str">
        <f aca="false">IF($A43="","",IFERROR(INDEX('Project Financials'!$D$5:$D$64,MATCH($A43,'Project Financials'!$A$5:$A$64,0)),""))</f>
        <v/>
      </c>
      <c r="O43" s="43" t="str">
        <f aca="false">IF($A43="","",IFERROR(INDEX('Project Financials'!$U$5:$U$64,MATCH($A43,'Project Financials'!$A$5:$A$64,0)),""))</f>
        <v/>
      </c>
      <c r="P43" s="43" t="str">
        <f aca="false">IF($A43="","",IFERROR(INDEX('Project Financials'!$AA$5:$AA$64,MATCH($A43,'Project Financials'!$A$5:$A$64,0)),""))</f>
        <v/>
      </c>
      <c r="Q43" s="47" t="str">
        <f aca="false">IF($A43="","",IFERROR(INDEX('Project Financials'!$AC$5:$AC$64,MATCH($A43,'Project Financials'!$A$5:$A$64,0)),""))</f>
        <v/>
      </c>
      <c r="R43" s="20" t="str">
        <f aca="false">IF($A43="","",IFERROR(INDEX('Project Financials'!$V$5:$V$64,MATCH($A43,'Project Financials'!$A$5:$A$64,0)),""))</f>
        <v/>
      </c>
      <c r="S43" s="20" t="str">
        <f aca="false">IF($A43="","",IFERROR(_xlfn.MAXIFS('Iteration Tracker'!$D$5:$D$124,'Iteration Tracker'!$A$5:$A$124,$A43),""))</f>
        <v/>
      </c>
      <c r="T43" s="30"/>
      <c r="U43" s="30"/>
      <c r="V43" s="34"/>
      <c r="W43" s="34"/>
      <c r="X43" s="34"/>
    </row>
    <row r="44" customFormat="false" ht="39.75" hidden="false" customHeight="true" outlineLevel="0" collapsed="false">
      <c r="A44" s="30"/>
      <c r="B44" s="37" t="str">
        <f aca="false">IF($A44="","",IFERROR(INDEX('Fragrance Projects'!$C$5:$C$64,MATCH($A44,'Fragrance Projects'!$A$5:$A$64,0)),""))</f>
        <v/>
      </c>
      <c r="C44" s="37" t="str">
        <f aca="false">IF($A44="","",IFERROR(INDEX('Fragrance Projects'!$D$5:$D$64,MATCH($A44,'Fragrance Projects'!$A$5:$A$64,0)),""))</f>
        <v/>
      </c>
      <c r="D44" s="20" t="str">
        <f aca="false">IF($A44="","",IFERROR(INDEX('Iteration Tracker'!$E$5:$E$124,SUMPRODUCT(SMALL(IF((('Iteration Tracker'!$A$5:$A$124=$A44)*('Iteration Tracker'!$D$5:$D$124=_xlfn.MAXIFS('Iteration Tracker'!$D$5:$D$124,'Iteration Tracker'!$A$5:$A$124,$A44))),ROW('Iteration Tracker'!$D$5:$D$124)-ROW(INDEX('Iteration Tracker'!$D$5:$D$124,1))+1),1))),""))</f>
        <v/>
      </c>
      <c r="E44" s="31"/>
      <c r="F44" s="30"/>
      <c r="G44" s="30"/>
      <c r="H44" s="30"/>
      <c r="I44" s="30"/>
      <c r="J44" s="30"/>
      <c r="K44" s="20" t="str">
        <f aca="false">IF($A44="","",IF(IFERROR(INDEX(Payments!$N$5:$N$64,MATCH($A44,Payments!$B$5:$B$64,0)),"")="Paid","Yes","No"))</f>
        <v/>
      </c>
      <c r="L44" s="30"/>
      <c r="M44" s="30"/>
      <c r="N44" s="43" t="str">
        <f aca="false">IF($A44="","",IFERROR(INDEX('Project Financials'!$D$5:$D$64,MATCH($A44,'Project Financials'!$A$5:$A$64,0)),""))</f>
        <v/>
      </c>
      <c r="O44" s="43" t="str">
        <f aca="false">IF($A44="","",IFERROR(INDEX('Project Financials'!$U$5:$U$64,MATCH($A44,'Project Financials'!$A$5:$A$64,0)),""))</f>
        <v/>
      </c>
      <c r="P44" s="43" t="str">
        <f aca="false">IF($A44="","",IFERROR(INDEX('Project Financials'!$AA$5:$AA$64,MATCH($A44,'Project Financials'!$A$5:$A$64,0)),""))</f>
        <v/>
      </c>
      <c r="Q44" s="47" t="str">
        <f aca="false">IF($A44="","",IFERROR(INDEX('Project Financials'!$AC$5:$AC$64,MATCH($A44,'Project Financials'!$A$5:$A$64,0)),""))</f>
        <v/>
      </c>
      <c r="R44" s="20" t="str">
        <f aca="false">IF($A44="","",IFERROR(INDEX('Project Financials'!$V$5:$V$64,MATCH($A44,'Project Financials'!$A$5:$A$64,0)),""))</f>
        <v/>
      </c>
      <c r="S44" s="20" t="str">
        <f aca="false">IF($A44="","",IFERROR(_xlfn.MAXIFS('Iteration Tracker'!$D$5:$D$124,'Iteration Tracker'!$A$5:$A$124,$A44),""))</f>
        <v/>
      </c>
      <c r="T44" s="30"/>
      <c r="U44" s="30"/>
      <c r="V44" s="34"/>
      <c r="W44" s="34"/>
      <c r="X44" s="34"/>
    </row>
  </sheetData>
  <sheetProtection sheet="true" formatCells="false" formatColumns="false" formatRows="false" insertRows="false" sort="false" autoFilter="false"/>
  <mergeCells count="5">
    <mergeCell ref="A1:X1"/>
    <mergeCell ref="A2:X2"/>
    <mergeCell ref="B3:C3"/>
    <mergeCell ref="F3:G3"/>
    <mergeCell ref="J3:K3"/>
  </mergeCells>
  <conditionalFormatting sqref="T5:T44">
    <cfRule type="expression" priority="2" aboveAverage="0" equalAverage="0" bottom="0" percent="0" rank="0" text="" dxfId="4">
      <formula>AND(T5&lt;&gt;"",T5&lt;6)</formula>
    </cfRule>
    <cfRule type="expression" priority="3" aboveAverage="0" equalAverage="0" bottom="0" percent="0" rank="0" text="" dxfId="5">
      <formula>AND(T5&lt;&gt;"",T5&gt;=8)</formula>
    </cfRule>
  </conditionalFormatting>
  <conditionalFormatting sqref="Q5:Q44">
    <cfRule type="cellIs" priority="4" operator="lessThan" aboveAverage="0" equalAverage="0" bottom="0" percent="0" rank="0" text="" dxfId="3">
      <formula>0.2</formula>
    </cfRule>
  </conditionalFormatting>
  <dataValidations count="9">
    <dataValidation allowBlank="true" error="Please choose a value from the dropdown list." errorStyle="stop" errorTitle="Invalid entry" operator="between" showDropDown="false" showErrorMessage="true" showInputMessage="false" sqref="A5:A44" type="list">
      <formula1>'Fragrance Projects'!$A$5:$A$64</formula1>
      <formula2>0</formula2>
    </dataValidation>
    <dataValidation allowBlank="true" error="Please choose a value from the dropdown list." errorStyle="stop" errorTitle="Invalid entry" operator="between" showDropDown="false" showErrorMessage="true" showInputMessage="false" sqref="J5:J44" type="list">
      <formula1>Lists!$F$2:$F$3</formula1>
      <formula2>0</formula2>
    </dataValidation>
    <dataValidation allowBlank="true" error="Please choose a value from the dropdown list." errorStyle="stop" errorTitle="Invalid entry" operator="between" showDropDown="false" showErrorMessage="true" showInputMessage="false" sqref="L5:L44" type="list">
      <formula1>Lists!$F$2:$F$3</formula1>
      <formula2>0</formula2>
    </dataValidation>
    <dataValidation allowBlank="true" error="Please choose a value from the dropdown list." errorStyle="stop" errorTitle="Invalid entry" operator="between" showDropDown="false" showErrorMessage="true" showInputMessage="false" sqref="M5:M44" type="list">
      <formula1>Lists!$F$2:$F$3</formula1>
      <formula2>0</formula2>
    </dataValidation>
    <dataValidation allowBlank="true" error="Please choose a value from the dropdown list." errorStyle="stop" errorTitle="Invalid entry" operator="between" showDropDown="false" showErrorMessage="true" showInputMessage="false" sqref="F5:F44" type="list">
      <formula1>Lists!$F$2:$F$3</formula1>
      <formula2>0</formula2>
    </dataValidation>
    <dataValidation allowBlank="true" error="Please choose a value from the dropdown list." errorStyle="stop" errorTitle="Invalid entry" operator="between" showDropDown="false" showErrorMessage="true" showInputMessage="false" sqref="G5:G44" type="list">
      <formula1>Lists!$F$2:$F$3</formula1>
      <formula2>0</formula2>
    </dataValidation>
    <dataValidation allowBlank="true" error="Please choose a value from the dropdown list." errorStyle="stop" errorTitle="Invalid entry" operator="between" showDropDown="false" showErrorMessage="true" showInputMessage="false" sqref="H5:H44" type="list">
      <formula1>Lists!$F$2:$F$3</formula1>
      <formula2>0</formula2>
    </dataValidation>
    <dataValidation allowBlank="true" error="Please choose a value from the dropdown list." errorStyle="stop" errorTitle="Invalid entry" operator="between" showDropDown="false" showErrorMessage="true" showInputMessage="false" sqref="I5:I44" type="list">
      <formula1>Lists!$F$2:$F$3</formula1>
      <formula2>0</formula2>
    </dataValidation>
    <dataValidation allowBlank="true" error="Please choose a value from the dropdown list." errorStyle="stop" errorTitle="Invalid entry" operator="between" showDropDown="false" showErrorMessage="true" showInputMessage="false" sqref="U5:U44" type="list">
      <formula1>Lists!$X$2:$X$4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3" width="4"/>
    <col collapsed="false" customWidth="true" hidden="false" outlineLevel="0" max="2" min="2" style="3" width="22"/>
    <col collapsed="false" customWidth="true" hidden="false" outlineLevel="0" max="3" min="3" style="3" width="58"/>
    <col collapsed="false" customWidth="true" hidden="false" outlineLevel="0" max="4" min="4" style="3" width="4"/>
    <col collapsed="false" customWidth="true" hidden="false" outlineLevel="0" max="5" min="5" style="3" width="2"/>
    <col collapsed="false" customWidth="true" hidden="false" outlineLevel="0" max="6" min="6" style="3" width="30"/>
  </cols>
  <sheetData>
    <row r="1" customFormat="false" ht="33.75" hidden="false" customHeight="true" outlineLevel="0" collapsed="false">
      <c r="A1" s="4" t="s">
        <v>405</v>
      </c>
      <c r="B1" s="4"/>
      <c r="C1" s="4"/>
      <c r="D1" s="4"/>
      <c r="E1" s="4"/>
      <c r="F1" s="4"/>
    </row>
    <row r="2" customFormat="false" ht="19.5" hidden="false" customHeight="true" outlineLevel="0" collapsed="false">
      <c r="A2" s="25" t="s">
        <v>406</v>
      </c>
      <c r="B2" s="25"/>
      <c r="C2" s="25"/>
      <c r="D2" s="25"/>
      <c r="E2" s="25"/>
      <c r="F2" s="25"/>
    </row>
    <row r="4" customFormat="false" ht="33.75" hidden="false" customHeight="true" outlineLevel="0" collapsed="false">
      <c r="A4" s="48" t="s">
        <v>407</v>
      </c>
      <c r="B4" s="48"/>
      <c r="C4" s="48"/>
      <c r="D4" s="48"/>
      <c r="E4" s="48"/>
      <c r="F4" s="48"/>
    </row>
    <row r="6" customFormat="false" ht="21.75" hidden="false" customHeight="true" outlineLevel="0" collapsed="false">
      <c r="A6" s="49" t="s">
        <v>408</v>
      </c>
      <c r="B6" s="49"/>
      <c r="C6" s="49"/>
      <c r="D6" s="49"/>
      <c r="E6" s="49"/>
      <c r="F6" s="49"/>
    </row>
    <row r="7" customFormat="false" ht="27.75" hidden="false" customHeight="true" outlineLevel="0" collapsed="false">
      <c r="A7" s="50" t="s">
        <v>409</v>
      </c>
      <c r="B7" s="50"/>
      <c r="C7" s="50"/>
      <c r="D7" s="50"/>
      <c r="E7" s="50"/>
      <c r="F7" s="50"/>
    </row>
    <row r="8" customFormat="false" ht="18" hidden="false" customHeight="true" outlineLevel="0" collapsed="false">
      <c r="B8" s="51" t="s">
        <v>410</v>
      </c>
      <c r="C8" s="52" t="s">
        <v>411</v>
      </c>
    </row>
    <row r="9" customFormat="false" ht="18" hidden="false" customHeight="true" outlineLevel="0" collapsed="false">
      <c r="B9" s="51" t="s">
        <v>412</v>
      </c>
      <c r="C9" s="52" t="s">
        <v>413</v>
      </c>
    </row>
    <row r="11" customFormat="false" ht="15.75" hidden="false" customHeight="true" outlineLevel="0" collapsed="false">
      <c r="A11" s="53" t="s">
        <v>414</v>
      </c>
      <c r="B11" s="54" t="s">
        <v>415</v>
      </c>
      <c r="C11" s="55" t="s">
        <v>416</v>
      </c>
      <c r="D11" s="55"/>
      <c r="E11" s="55"/>
      <c r="F11" s="55"/>
    </row>
    <row r="12" customFormat="false" ht="49.5" hidden="false" customHeight="true" outlineLevel="0" collapsed="false">
      <c r="A12" s="53"/>
      <c r="B12" s="56" t="s">
        <v>417</v>
      </c>
      <c r="C12" s="55"/>
      <c r="D12" s="55"/>
      <c r="E12" s="55"/>
      <c r="F12" s="55"/>
    </row>
    <row r="14" customFormat="false" ht="15.75" hidden="false" customHeight="true" outlineLevel="0" collapsed="false">
      <c r="A14" s="53" t="s">
        <v>418</v>
      </c>
      <c r="B14" s="54" t="s">
        <v>419</v>
      </c>
      <c r="C14" s="55" t="s">
        <v>420</v>
      </c>
      <c r="D14" s="55"/>
      <c r="E14" s="55"/>
      <c r="F14" s="55"/>
    </row>
    <row r="15" customFormat="false" ht="49.5" hidden="false" customHeight="true" outlineLevel="0" collapsed="false">
      <c r="A15" s="53"/>
      <c r="B15" s="56" t="s">
        <v>417</v>
      </c>
      <c r="C15" s="55"/>
      <c r="D15" s="55"/>
      <c r="E15" s="55"/>
      <c r="F15" s="55"/>
    </row>
    <row r="17" customFormat="false" ht="15.75" hidden="false" customHeight="true" outlineLevel="0" collapsed="false">
      <c r="A17" s="53" t="s">
        <v>421</v>
      </c>
      <c r="B17" s="54" t="s">
        <v>422</v>
      </c>
      <c r="C17" s="55" t="s">
        <v>423</v>
      </c>
      <c r="D17" s="55"/>
      <c r="E17" s="55"/>
      <c r="F17" s="55"/>
    </row>
    <row r="18" customFormat="false" ht="49.5" hidden="false" customHeight="true" outlineLevel="0" collapsed="false">
      <c r="A18" s="53"/>
      <c r="B18" s="56" t="s">
        <v>424</v>
      </c>
      <c r="C18" s="55"/>
      <c r="D18" s="55"/>
      <c r="E18" s="55"/>
      <c r="F18" s="55"/>
    </row>
    <row r="20" customFormat="false" ht="15.75" hidden="false" customHeight="true" outlineLevel="0" collapsed="false">
      <c r="A20" s="53" t="s">
        <v>425</v>
      </c>
      <c r="B20" s="54" t="s">
        <v>426</v>
      </c>
      <c r="C20" s="55" t="s">
        <v>427</v>
      </c>
      <c r="D20" s="55"/>
      <c r="E20" s="55"/>
      <c r="F20" s="55"/>
    </row>
    <row r="21" customFormat="false" ht="49.5" hidden="false" customHeight="true" outlineLevel="0" collapsed="false">
      <c r="A21" s="53"/>
      <c r="B21" s="56" t="s">
        <v>428</v>
      </c>
      <c r="C21" s="55"/>
      <c r="D21" s="55"/>
      <c r="E21" s="55"/>
      <c r="F21" s="55"/>
    </row>
    <row r="23" customFormat="false" ht="15.75" hidden="false" customHeight="true" outlineLevel="0" collapsed="false">
      <c r="A23" s="53" t="s">
        <v>429</v>
      </c>
      <c r="B23" s="54" t="s">
        <v>430</v>
      </c>
      <c r="C23" s="55" t="s">
        <v>431</v>
      </c>
      <c r="D23" s="55"/>
      <c r="E23" s="55"/>
      <c r="F23" s="55"/>
    </row>
    <row r="24" customFormat="false" ht="49.5" hidden="false" customHeight="true" outlineLevel="0" collapsed="false">
      <c r="A24" s="53"/>
      <c r="B24" s="56" t="s">
        <v>432</v>
      </c>
      <c r="C24" s="55"/>
      <c r="D24" s="55"/>
      <c r="E24" s="55"/>
      <c r="F24" s="55"/>
    </row>
    <row r="26" customFormat="false" ht="15.75" hidden="false" customHeight="true" outlineLevel="0" collapsed="false">
      <c r="A26" s="53" t="s">
        <v>433</v>
      </c>
      <c r="B26" s="54" t="s">
        <v>434</v>
      </c>
      <c r="C26" s="55" t="s">
        <v>435</v>
      </c>
      <c r="D26" s="55"/>
      <c r="E26" s="55"/>
      <c r="F26" s="55"/>
    </row>
    <row r="27" customFormat="false" ht="49.5" hidden="false" customHeight="true" outlineLevel="0" collapsed="false">
      <c r="A27" s="53"/>
      <c r="B27" s="56" t="s">
        <v>432</v>
      </c>
      <c r="C27" s="55"/>
      <c r="D27" s="55"/>
      <c r="E27" s="55"/>
      <c r="F27" s="55"/>
    </row>
    <row r="29" customFormat="false" ht="15.75" hidden="false" customHeight="true" outlineLevel="0" collapsed="false">
      <c r="A29" s="53" t="s">
        <v>436</v>
      </c>
      <c r="B29" s="54" t="s">
        <v>437</v>
      </c>
      <c r="C29" s="55" t="s">
        <v>438</v>
      </c>
      <c r="D29" s="55"/>
      <c r="E29" s="55"/>
      <c r="F29" s="55"/>
    </row>
    <row r="30" customFormat="false" ht="49.5" hidden="false" customHeight="true" outlineLevel="0" collapsed="false">
      <c r="A30" s="53"/>
      <c r="B30" s="56" t="s">
        <v>428</v>
      </c>
      <c r="C30" s="55"/>
      <c r="D30" s="55"/>
      <c r="E30" s="55"/>
      <c r="F30" s="55"/>
    </row>
    <row r="32" customFormat="false" ht="15.75" hidden="false" customHeight="true" outlineLevel="0" collapsed="false">
      <c r="A32" s="53" t="s">
        <v>439</v>
      </c>
      <c r="B32" s="54" t="s">
        <v>440</v>
      </c>
      <c r="C32" s="55" t="s">
        <v>441</v>
      </c>
      <c r="D32" s="55"/>
      <c r="E32" s="55"/>
      <c r="F32" s="55"/>
    </row>
    <row r="33" customFormat="false" ht="49.5" hidden="false" customHeight="true" outlineLevel="0" collapsed="false">
      <c r="A33" s="53"/>
      <c r="B33" s="56" t="s">
        <v>442</v>
      </c>
      <c r="C33" s="55"/>
      <c r="D33" s="55"/>
      <c r="E33" s="55"/>
      <c r="F33" s="55"/>
    </row>
    <row r="35" customFormat="false" ht="15.75" hidden="false" customHeight="true" outlineLevel="0" collapsed="false">
      <c r="A35" s="53" t="s">
        <v>443</v>
      </c>
      <c r="B35" s="54" t="s">
        <v>444</v>
      </c>
      <c r="C35" s="55" t="s">
        <v>445</v>
      </c>
      <c r="D35" s="55"/>
      <c r="E35" s="55"/>
      <c r="F35" s="55"/>
    </row>
    <row r="36" customFormat="false" ht="49.5" hidden="false" customHeight="true" outlineLevel="0" collapsed="false">
      <c r="A36" s="53"/>
      <c r="B36" s="56" t="s">
        <v>446</v>
      </c>
      <c r="C36" s="55"/>
      <c r="D36" s="55"/>
      <c r="E36" s="55"/>
      <c r="F36" s="55"/>
    </row>
    <row r="38" customFormat="false" ht="15.75" hidden="false" customHeight="true" outlineLevel="0" collapsed="false">
      <c r="A38" s="53" t="s">
        <v>447</v>
      </c>
      <c r="B38" s="54" t="s">
        <v>448</v>
      </c>
      <c r="C38" s="55" t="s">
        <v>449</v>
      </c>
      <c r="D38" s="55"/>
      <c r="E38" s="55"/>
      <c r="F38" s="55"/>
    </row>
    <row r="39" customFormat="false" ht="49.5" hidden="false" customHeight="true" outlineLevel="0" collapsed="false">
      <c r="A39" s="53"/>
      <c r="B39" s="56" t="s">
        <v>450</v>
      </c>
      <c r="C39" s="55"/>
      <c r="D39" s="55"/>
      <c r="E39" s="55"/>
      <c r="F39" s="55"/>
    </row>
    <row r="41" customFormat="false" ht="15.75" hidden="false" customHeight="true" outlineLevel="0" collapsed="false">
      <c r="A41" s="53" t="s">
        <v>451</v>
      </c>
      <c r="B41" s="54" t="s">
        <v>452</v>
      </c>
      <c r="C41" s="55" t="s">
        <v>453</v>
      </c>
      <c r="D41" s="55"/>
      <c r="E41" s="55"/>
      <c r="F41" s="55"/>
    </row>
    <row r="42" customFormat="false" ht="49.5" hidden="false" customHeight="true" outlineLevel="0" collapsed="false">
      <c r="A42" s="53"/>
      <c r="B42" s="56" t="s">
        <v>454</v>
      </c>
      <c r="C42" s="55"/>
      <c r="D42" s="55"/>
      <c r="E42" s="55"/>
      <c r="F42" s="55"/>
    </row>
    <row r="45" customFormat="false" ht="21.75" hidden="false" customHeight="true" outlineLevel="0" collapsed="false">
      <c r="A45" s="57" t="s">
        <v>455</v>
      </c>
      <c r="B45" s="57"/>
      <c r="C45" s="57"/>
      <c r="D45" s="57"/>
      <c r="E45" s="57"/>
      <c r="F45" s="57"/>
    </row>
    <row r="46" customFormat="false" ht="18" hidden="false" customHeight="true" outlineLevel="0" collapsed="false">
      <c r="A46" s="26"/>
      <c r="B46" s="51" t="s">
        <v>456</v>
      </c>
      <c r="C46" s="58" t="s">
        <v>457</v>
      </c>
      <c r="D46" s="58"/>
      <c r="E46" s="58"/>
      <c r="F46" s="58"/>
    </row>
    <row r="47" customFormat="false" ht="18" hidden="false" customHeight="true" outlineLevel="0" collapsed="false">
      <c r="A47" s="28"/>
      <c r="B47" s="51" t="s">
        <v>458</v>
      </c>
      <c r="C47" s="58" t="s">
        <v>459</v>
      </c>
      <c r="D47" s="58"/>
      <c r="E47" s="58"/>
      <c r="F47" s="58"/>
    </row>
    <row r="48" customFormat="false" ht="18" hidden="false" customHeight="true" outlineLevel="0" collapsed="false">
      <c r="A48" s="29"/>
      <c r="B48" s="51" t="s">
        <v>460</v>
      </c>
      <c r="C48" s="58" t="s">
        <v>461</v>
      </c>
      <c r="D48" s="58"/>
      <c r="E48" s="58"/>
      <c r="F48" s="58"/>
    </row>
    <row r="49" customFormat="false" ht="18" hidden="false" customHeight="true" outlineLevel="0" collapsed="false">
      <c r="A49" s="59"/>
      <c r="B49" s="51" t="s">
        <v>462</v>
      </c>
      <c r="C49" s="58" t="s">
        <v>463</v>
      </c>
      <c r="D49" s="58"/>
      <c r="E49" s="58"/>
      <c r="F49" s="58"/>
    </row>
    <row r="50" customFormat="false" ht="18" hidden="false" customHeight="true" outlineLevel="0" collapsed="false">
      <c r="A50" s="60"/>
      <c r="B50" s="51" t="s">
        <v>464</v>
      </c>
      <c r="C50" s="58" t="s">
        <v>465</v>
      </c>
      <c r="D50" s="58"/>
      <c r="E50" s="58"/>
      <c r="F50" s="58"/>
    </row>
    <row r="51" customFormat="false" ht="18" hidden="false" customHeight="true" outlineLevel="0" collapsed="false">
      <c r="A51" s="61"/>
      <c r="B51" s="51" t="s">
        <v>466</v>
      </c>
      <c r="C51" s="58" t="s">
        <v>467</v>
      </c>
      <c r="D51" s="58"/>
      <c r="E51" s="58"/>
      <c r="F51" s="58"/>
    </row>
    <row r="52" customFormat="false" ht="18" hidden="false" customHeight="true" outlineLevel="0" collapsed="false">
      <c r="A52" s="62"/>
      <c r="B52" s="51" t="s">
        <v>468</v>
      </c>
      <c r="C52" s="58" t="s">
        <v>469</v>
      </c>
      <c r="D52" s="58"/>
      <c r="E52" s="58"/>
      <c r="F52" s="58"/>
    </row>
    <row r="54" customFormat="false" ht="21.75" hidden="false" customHeight="true" outlineLevel="0" collapsed="false">
      <c r="A54" s="57" t="s">
        <v>470</v>
      </c>
      <c r="B54" s="57"/>
      <c r="C54" s="57"/>
      <c r="D54" s="57"/>
      <c r="E54" s="57"/>
      <c r="F54" s="57"/>
    </row>
    <row r="55" customFormat="false" ht="15.75" hidden="false" customHeight="true" outlineLevel="0" collapsed="false">
      <c r="B55" s="51" t="s">
        <v>471</v>
      </c>
      <c r="C55" s="63" t="s">
        <v>472</v>
      </c>
      <c r="D55" s="63"/>
      <c r="E55" s="63"/>
      <c r="F55" s="63"/>
    </row>
    <row r="56" customFormat="false" ht="15.75" hidden="false" customHeight="true" outlineLevel="0" collapsed="false">
      <c r="B56" s="51" t="s">
        <v>417</v>
      </c>
      <c r="C56" s="63" t="s">
        <v>473</v>
      </c>
      <c r="D56" s="63"/>
      <c r="E56" s="63"/>
      <c r="F56" s="63"/>
    </row>
    <row r="57" customFormat="false" ht="15.75" hidden="false" customHeight="true" outlineLevel="0" collapsed="false">
      <c r="B57" s="51" t="s">
        <v>474</v>
      </c>
      <c r="C57" s="63" t="s">
        <v>475</v>
      </c>
      <c r="D57" s="63"/>
      <c r="E57" s="63"/>
      <c r="F57" s="63"/>
    </row>
    <row r="58" customFormat="false" ht="15.75" hidden="false" customHeight="true" outlineLevel="0" collapsed="false">
      <c r="B58" s="51" t="s">
        <v>476</v>
      </c>
      <c r="C58" s="63" t="s">
        <v>477</v>
      </c>
      <c r="D58" s="63"/>
      <c r="E58" s="63"/>
      <c r="F58" s="63"/>
    </row>
    <row r="59" customFormat="false" ht="15.75" hidden="false" customHeight="true" outlineLevel="0" collapsed="false">
      <c r="B59" s="51" t="s">
        <v>428</v>
      </c>
      <c r="C59" s="63" t="s">
        <v>478</v>
      </c>
      <c r="D59" s="63"/>
      <c r="E59" s="63"/>
      <c r="F59" s="63"/>
    </row>
    <row r="60" customFormat="false" ht="15.75" hidden="false" customHeight="true" outlineLevel="0" collapsed="false">
      <c r="B60" s="51" t="s">
        <v>479</v>
      </c>
      <c r="C60" s="63" t="s">
        <v>480</v>
      </c>
      <c r="D60" s="63"/>
      <c r="E60" s="63"/>
      <c r="F60" s="63"/>
    </row>
    <row r="61" customFormat="false" ht="15.75" hidden="false" customHeight="true" outlineLevel="0" collapsed="false">
      <c r="B61" s="51" t="s">
        <v>481</v>
      </c>
      <c r="C61" s="63" t="s">
        <v>482</v>
      </c>
      <c r="D61" s="63"/>
      <c r="E61" s="63"/>
      <c r="F61" s="63"/>
    </row>
    <row r="62" customFormat="false" ht="15.75" hidden="false" customHeight="true" outlineLevel="0" collapsed="false">
      <c r="B62" s="51" t="s">
        <v>450</v>
      </c>
      <c r="C62" s="63" t="s">
        <v>483</v>
      </c>
      <c r="D62" s="63"/>
      <c r="E62" s="63"/>
      <c r="F62" s="63"/>
    </row>
    <row r="63" customFormat="false" ht="15.75" hidden="false" customHeight="true" outlineLevel="0" collapsed="false">
      <c r="B63" s="51" t="s">
        <v>484</v>
      </c>
      <c r="C63" s="63" t="s">
        <v>485</v>
      </c>
      <c r="D63" s="63"/>
      <c r="E63" s="63"/>
      <c r="F63" s="63"/>
    </row>
    <row r="64" customFormat="false" ht="15.75" hidden="false" customHeight="true" outlineLevel="0" collapsed="false">
      <c r="B64" s="51" t="s">
        <v>486</v>
      </c>
      <c r="C64" s="63" t="s">
        <v>487</v>
      </c>
      <c r="D64" s="63"/>
      <c r="E64" s="63"/>
      <c r="F64" s="63"/>
    </row>
    <row r="65" customFormat="false" ht="15.75" hidden="false" customHeight="true" outlineLevel="0" collapsed="false">
      <c r="B65" s="51" t="s">
        <v>454</v>
      </c>
      <c r="C65" s="63" t="s">
        <v>488</v>
      </c>
      <c r="D65" s="63"/>
      <c r="E65" s="63"/>
      <c r="F65" s="63"/>
    </row>
  </sheetData>
  <mergeCells count="47">
    <mergeCell ref="A1:F1"/>
    <mergeCell ref="A2:F2"/>
    <mergeCell ref="A4:F4"/>
    <mergeCell ref="A6:F6"/>
    <mergeCell ref="A7:F7"/>
    <mergeCell ref="A11:A12"/>
    <mergeCell ref="C11:F12"/>
    <mergeCell ref="A14:A15"/>
    <mergeCell ref="C14:F15"/>
    <mergeCell ref="A17:A18"/>
    <mergeCell ref="C17:F18"/>
    <mergeCell ref="A20:A21"/>
    <mergeCell ref="C20:F21"/>
    <mergeCell ref="A23:A24"/>
    <mergeCell ref="C23:F24"/>
    <mergeCell ref="A26:A27"/>
    <mergeCell ref="C26:F27"/>
    <mergeCell ref="A29:A30"/>
    <mergeCell ref="C29:F30"/>
    <mergeCell ref="A32:A33"/>
    <mergeCell ref="C32:F33"/>
    <mergeCell ref="A35:A36"/>
    <mergeCell ref="C35:F36"/>
    <mergeCell ref="A38:A39"/>
    <mergeCell ref="C38:F39"/>
    <mergeCell ref="A41:A42"/>
    <mergeCell ref="C41:F42"/>
    <mergeCell ref="A45:F45"/>
    <mergeCell ref="C46:F46"/>
    <mergeCell ref="C47:F47"/>
    <mergeCell ref="C48:F48"/>
    <mergeCell ref="C49:F49"/>
    <mergeCell ref="C50:F50"/>
    <mergeCell ref="C51:F51"/>
    <mergeCell ref="C52:F52"/>
    <mergeCell ref="A54:F54"/>
    <mergeCell ref="C55:F55"/>
    <mergeCell ref="C56:F56"/>
    <mergeCell ref="C57:F57"/>
    <mergeCell ref="C58:F58"/>
    <mergeCell ref="C59:F59"/>
    <mergeCell ref="C60:F60"/>
    <mergeCell ref="C61:F61"/>
    <mergeCell ref="C62:F62"/>
    <mergeCell ref="C63:F63"/>
    <mergeCell ref="C64:F64"/>
    <mergeCell ref="C65:F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2026-08-17T19:23:09Z</dcterms:created>
  <dc:creator>Perfumer Studio</dc:creator>
  <dc:description/>
  <dc:language>en-US</dc:language>
  <cp:lastModifiedBy/>
  <dcterms:modified xsi:type="dcterms:W3CDTF">2026-08-17T19:25:33Z</dcterms:modified>
  <cp:revision>2</cp:revision>
  <dc:subject>Perfumer CRM, project tracker, brief database, financials &amp; dashboard</dc:subject>
  <dc:title>Fragrance Development Business Workbook</dc:title>
</cp:coreProperties>
</file>

<file path=docProps/custom.xml><?xml version="1.0" encoding="utf-8"?>
<Properties xmlns="http://schemas.openxmlformats.org/officeDocument/2006/custom-properties" xmlns:vt="http://schemas.openxmlformats.org/officeDocument/2006/docPropsVTypes"/>
</file>